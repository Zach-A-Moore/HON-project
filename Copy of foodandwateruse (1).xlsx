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v3643je\Desktop\New 304\Chem 304\"/>
    </mc:Choice>
  </mc:AlternateContent>
  <xr:revisionPtr revIDLastSave="0" documentId="13_ncr:1_{0C06E3A1-30C2-43D9-BA89-03E5A42A824A}" xr6:coauthVersionLast="47" xr6:coauthVersionMax="47" xr10:uidLastSave="{00000000-0000-0000-0000-000000000000}"/>
  <bookViews>
    <workbookView xWindow="23880" yWindow="-120" windowWidth="24240" windowHeight="13020" activeTab="1" xr2:uid="{00000000-000D-0000-FFFF-FFFF00000000}"/>
  </bookViews>
  <sheets>
    <sheet name="Food Eaten Part 1" sheetId="1" r:id="rId1"/>
    <sheet name="Total Water Uses" sheetId="3" r:id="rId2"/>
    <sheet name=" 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4" i="1" l="1" a="1"/>
  <c r="Q24" i="1" s="1"/>
  <c r="B24" i="1"/>
  <c r="B23" i="1"/>
  <c r="E17" i="3"/>
  <c r="G17" i="3" s="1"/>
  <c r="E18" i="1"/>
  <c r="G18" i="1"/>
  <c r="E19" i="1"/>
  <c r="G19" i="1" s="1"/>
  <c r="E20" i="1"/>
  <c r="G20" i="1"/>
  <c r="E12" i="1"/>
  <c r="G12" i="1" s="1"/>
  <c r="E13" i="1"/>
  <c r="G13" i="1" s="1"/>
  <c r="E14" i="1"/>
  <c r="G14" i="1" s="1"/>
  <c r="M12" i="1"/>
  <c r="M13" i="1"/>
  <c r="G14" i="3"/>
  <c r="G4" i="3"/>
  <c r="G13" i="3"/>
  <c r="G12" i="3"/>
  <c r="G11" i="3"/>
  <c r="G10" i="3"/>
  <c r="G9" i="3"/>
  <c r="G8" i="3"/>
  <c r="G7" i="3"/>
  <c r="G6" i="3"/>
  <c r="G5" i="3"/>
  <c r="G25" i="3"/>
  <c r="L5" i="1"/>
  <c r="L4" i="1"/>
  <c r="E23" i="3" s="1"/>
  <c r="G23" i="3" s="1"/>
  <c r="L3" i="1"/>
  <c r="L6" i="1" s="1"/>
  <c r="E8" i="1"/>
  <c r="E19" i="3" s="1"/>
  <c r="G19" i="3" s="1"/>
  <c r="E7" i="1"/>
  <c r="E6" i="1"/>
  <c r="E24" i="3" s="1"/>
  <c r="G24" i="3" s="1"/>
  <c r="E5" i="1"/>
  <c r="E4" i="1"/>
  <c r="E3" i="1"/>
  <c r="E21" i="3" s="1"/>
  <c r="G21" i="3" s="1"/>
  <c r="E18" i="3" l="1"/>
  <c r="G18" i="3" s="1"/>
  <c r="E20" i="3"/>
  <c r="G20" i="3" s="1"/>
  <c r="G15" i="3"/>
  <c r="C34" i="3" s="1"/>
  <c r="C37" i="3" s="1"/>
  <c r="E22" i="3"/>
  <c r="G22" i="3" s="1"/>
  <c r="E9" i="1"/>
  <c r="M14" i="1"/>
  <c r="G21" i="1"/>
  <c r="G15" i="1"/>
  <c r="G26" i="3" l="1"/>
  <c r="C35" i="3" s="1"/>
  <c r="B2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<sst xmlns="http://schemas.openxmlformats.org/spreadsheetml/2006/main" count="175" uniqueCount="135">
  <si>
    <t>Part 1: 
The Grains/
Carbohydrates</t>
  </si>
  <si>
    <t>Bread 
(bagels per half, buns per half, etc)</t>
  </si>
  <si>
    <t xml:space="preserve">Pasta, rice, 
oatmeal per cup cooked 
</t>
  </si>
  <si>
    <t xml:space="preserve">Cereal dry 
(add milk below)
</t>
  </si>
  <si>
    <t xml:space="preserve">Regular pop/
Koolaid/beer
per 12 oz can 
or 1 shot of liquor (x1.6 for 20oz pop)
</t>
  </si>
  <si>
    <t xml:space="preserve">Number of servings 
consumed in a week
</t>
  </si>
  <si>
    <t>Servings/8</t>
  </si>
  <si>
    <t>Servings/10</t>
  </si>
  <si>
    <t>Servings/4</t>
  </si>
  <si>
    <t>Grand Total 
of Pounds 
of Carbohydrates
Consumed</t>
  </si>
  <si>
    <t>Part 2:
Fruits/
Vegtables</t>
  </si>
  <si>
    <t xml:space="preserve">Juice (juice glass)
 wine (glass)
</t>
  </si>
  <si>
    <t xml:space="preserve">Servings of 
vegetables 
(4 oz)
</t>
  </si>
  <si>
    <t>Part 3: 
Animal Items</t>
  </si>
  <si>
    <t>Pounds of 
Chicken</t>
  </si>
  <si>
    <t>Number of servings 
consumed in a week</t>
  </si>
  <si>
    <t xml:space="preserve">Pounds of
Beef
</t>
  </si>
  <si>
    <t xml:space="preserve">Pounds of 
Pork
</t>
  </si>
  <si>
    <t xml:space="preserve">Conversion 
into 
Pounds (lbs)
of Grains
</t>
  </si>
  <si>
    <t>Serving X 7.5</t>
  </si>
  <si>
    <t>Serving X 4</t>
  </si>
  <si>
    <t>Waste 
Conversion</t>
  </si>
  <si>
    <t>Pounds (lbs) 
of Grain
Equivalent</t>
  </si>
  <si>
    <t>Serving X 2.4</t>
  </si>
  <si>
    <t>Conversion into
pounds of grain X 2</t>
  </si>
  <si>
    <t>Conversion into
pounds of grain X 1.2</t>
  </si>
  <si>
    <t>Conversion into
pounds of grain X 1.3</t>
  </si>
  <si>
    <t>Part 4: 
Dairy</t>
  </si>
  <si>
    <t>2 oz cheese</t>
  </si>
  <si>
    <t>8 oz glasses milk
or yogurt or 
ice cream etc.</t>
  </si>
  <si>
    <t>Servings/2</t>
  </si>
  <si>
    <t xml:space="preserve">Bonus
Resources
</t>
  </si>
  <si>
    <t xml:space="preserve">Pounds of 
Caught Fish
</t>
  </si>
  <si>
    <t xml:space="preserve">Pounds of 
Farm Fish
</t>
  </si>
  <si>
    <t xml:space="preserve">Pounds of 
Hunted Meat
</t>
  </si>
  <si>
    <t>Serving X 1</t>
  </si>
  <si>
    <t>Serving X 2</t>
  </si>
  <si>
    <t xml:space="preserve">How many times 
a week do you…..
</t>
  </si>
  <si>
    <t xml:space="preserve">Drink water
</t>
  </si>
  <si>
    <t xml:space="preserve">Use water to cook
</t>
  </si>
  <si>
    <t xml:space="preserve">Flush the toilet
</t>
  </si>
  <si>
    <t xml:space="preserve">Take a shower
</t>
  </si>
  <si>
    <t xml:space="preserve">Take a bath
</t>
  </si>
  <si>
    <t xml:space="preserve">Wash Dishes
</t>
  </si>
  <si>
    <t xml:space="preserve">Wash Clothes
</t>
  </si>
  <si>
    <t xml:space="preserve">Watering the lawn
</t>
  </si>
  <si>
    <t xml:space="preserve">Meat Consumption
</t>
  </si>
  <si>
    <t xml:space="preserve">Rice/Cereal
</t>
  </si>
  <si>
    <t xml:space="preserve">Potatoes
</t>
  </si>
  <si>
    <t xml:space="preserve">Milk
</t>
  </si>
  <si>
    <t xml:space="preserve">Loaf of Bread
</t>
  </si>
  <si>
    <t>Serving of 
Vegtables</t>
  </si>
  <si>
    <t xml:space="preserve">Fruit
</t>
  </si>
  <si>
    <t>Sugar (even in 
candy)</t>
  </si>
  <si>
    <t xml:space="preserve">Aluminum
</t>
  </si>
  <si>
    <t xml:space="preserve">Producing Energy
</t>
  </si>
  <si>
    <t>Mining and
Manufacturing</t>
  </si>
  <si>
    <t>Commericial (Jobs
and Services</t>
  </si>
  <si>
    <t>Number of
gallons per week</t>
  </si>
  <si>
    <t>Number of 
total flushes
in a week</t>
  </si>
  <si>
    <t>Number of 
total minutes
in the shower for the week</t>
  </si>
  <si>
    <t>Number of loads of dishes in a week</t>
  </si>
  <si>
    <t>Number of loads of clothes washed in a week</t>
  </si>
  <si>
    <t>Number of minutes per head</t>
  </si>
  <si>
    <t>Shave with 
running water
*under a faucet, not in the shower</t>
  </si>
  <si>
    <t>Brush your teeth
with running water
*under a faucet, not in the shower</t>
  </si>
  <si>
    <t>Number of 
total minutes in a week</t>
  </si>
  <si>
    <t>Number of pounds consumed</t>
  </si>
  <si>
    <t>Number of gallons consumed</t>
  </si>
  <si>
    <t>Number of loaves consumed</t>
  </si>
  <si>
    <t>Number of vegtables consumed</t>
  </si>
  <si>
    <t>Conversion
 into gallons of water</t>
  </si>
  <si>
    <t>Multiply by 40</t>
  </si>
  <si>
    <t xml:space="preserve">Number of cans
</t>
  </si>
  <si>
    <t xml:space="preserve">Number of pieces of fruit
</t>
  </si>
  <si>
    <t>Amount consumed per week</t>
  </si>
  <si>
    <t>Number of times used per week</t>
  </si>
  <si>
    <t>Multiply by 7</t>
  </si>
  <si>
    <t xml:space="preserve">Number of 
baths
</t>
  </si>
  <si>
    <t>Multiply by 30</t>
  </si>
  <si>
    <t>Multiply by 1</t>
  </si>
  <si>
    <t>Multiply by 3 per head</t>
  </si>
  <si>
    <r>
      <t xml:space="preserve">Subtotal of </t>
    </r>
    <r>
      <rPr>
        <b/>
        <sz val="14"/>
        <color indexed="8"/>
        <rFont val="Times New Roman"/>
        <family val="1"/>
      </rPr>
      <t xml:space="preserve">Personal </t>
    </r>
    <r>
      <rPr>
        <sz val="14"/>
        <color indexed="8"/>
        <rFont val="Times New Roman"/>
        <family val="1"/>
      </rPr>
      <t>use of water in a week</t>
    </r>
  </si>
  <si>
    <t>Personal use
of Water</t>
  </si>
  <si>
    <r>
      <rPr>
        <b/>
        <sz val="14"/>
        <color indexed="8"/>
        <rFont val="Times New Roman"/>
        <family val="1"/>
      </rPr>
      <t>Indirect use
of water</t>
    </r>
    <r>
      <rPr>
        <sz val="14"/>
        <color indexed="8"/>
        <rFont val="Times New Roman"/>
        <family val="1"/>
      </rPr>
      <t xml:space="preserve">
</t>
    </r>
  </si>
  <si>
    <r>
      <t xml:space="preserve">Subtotal of </t>
    </r>
    <r>
      <rPr>
        <b/>
        <sz val="14"/>
        <color indexed="8"/>
        <rFont val="Times New Roman"/>
        <family val="1"/>
      </rPr>
      <t>indirect</t>
    </r>
    <r>
      <rPr>
        <sz val="14"/>
        <color indexed="8"/>
        <rFont val="Times New Roman"/>
        <family val="1"/>
      </rPr>
      <t xml:space="preserve"> use of water in a week</t>
    </r>
  </si>
  <si>
    <t>Multiply by 2.5
*note that toilets range in the amount of gallons of water they use per flush between 1 and 4, this is an average</t>
  </si>
  <si>
    <t xml:space="preserve">Your Comments </t>
  </si>
  <si>
    <t>Total water you used per week</t>
  </si>
  <si>
    <t xml:space="preserve">Amount of water 
in gallons
</t>
  </si>
  <si>
    <t>Your grand total of gallons of water used per week</t>
  </si>
  <si>
    <t xml:space="preserve">Other Indirect
Uses of Water
</t>
  </si>
  <si>
    <t>The average American uses</t>
  </si>
  <si>
    <t>632 gallons of water</t>
  </si>
  <si>
    <t>185 gallons of water</t>
  </si>
  <si>
    <t>90 gallons of water</t>
  </si>
  <si>
    <t>For a total of...</t>
  </si>
  <si>
    <t>907 gallons of water a week</t>
  </si>
  <si>
    <t>Subtotal of indirect use of water in a week of an Average American</t>
  </si>
  <si>
    <t>Small (16oz) bottle.</t>
  </si>
  <si>
    <t>Multiply by 1/8 to get gallons.</t>
  </si>
  <si>
    <t>Number of 
meals that used water in a week (pasta, rice, etc.)</t>
  </si>
  <si>
    <t xml:space="preserve"> </t>
  </si>
  <si>
    <t xml:space="preserve">  </t>
  </si>
  <si>
    <t>Estimate number of gallons?</t>
  </si>
  <si>
    <t>Other water use?  Wash car?</t>
  </si>
  <si>
    <t>E14 x 1</t>
  </si>
  <si>
    <t>Multiply by 505 (water used in growing, etc. grain)</t>
  </si>
  <si>
    <t>Multiply by 25 (water used in growing, etc. potatoes)</t>
  </si>
  <si>
    <t>Multiply by 900 (water used in maintaining dairy cows)</t>
  </si>
  <si>
    <t>Multiply by 150 (water used in growing, grain, etc.)</t>
  </si>
  <si>
    <t>Multiply by 125 (water used in growing, etc.)</t>
  </si>
  <si>
    <t>Multiply by 40 (water used in growing, etc.)</t>
  </si>
  <si>
    <t>Multiply by 260 (water used in the processing of the ore)</t>
  </si>
  <si>
    <t>This number can be lessened considerably if you recycle your cans.  260 down to about 13, give or take…</t>
  </si>
  <si>
    <t>Conversion 
into 
Pounds (lbs)
of grain</t>
  </si>
  <si>
    <t xml:space="preserve">Candy per bar (regular, not mini (figure 3 or 4 = 1) or king (Figure 1 king = 2 regular)
</t>
  </si>
  <si>
    <t xml:space="preserve">Potatoes - small serving - 1 ice cream scoop like in the cafeteria...
</t>
  </si>
  <si>
    <t>Fruit
(1 apple,
 orange, etc.)
or bunch of grapes, small bag of cherries, etc.</t>
  </si>
  <si>
    <t>SUPER MEGA GRAND TOTAL</t>
  </si>
  <si>
    <t>Multiply by 2530 (water used in raising, etc. per pound of cow)</t>
  </si>
  <si>
    <r>
      <t xml:space="preserve">Number of </t>
    </r>
    <r>
      <rPr>
        <b/>
        <sz val="14"/>
        <color rgb="FF000000"/>
        <rFont val="Times New Roman"/>
        <family val="1"/>
      </rPr>
      <t>pounds</t>
    </r>
    <r>
      <rPr>
        <sz val="14"/>
        <color indexed="8"/>
        <rFont val="Times New Roman"/>
        <family val="1"/>
      </rPr>
      <t xml:space="preserve">
consumed in a week</t>
    </r>
  </si>
  <si>
    <t>lbs of grain/ plants</t>
  </si>
  <si>
    <t>Plants fed to animals to make YOUR meat and dairy</t>
  </si>
  <si>
    <t>Plants eaten directly by you</t>
  </si>
  <si>
    <t>Only put numbers in the green - it will automatically calculate the yellow.  At the bottom is also a tab for water, once you complete this page, then click on that tab to look at water.  But this sheet has to be completed first.</t>
  </si>
  <si>
    <t>Make sure you compete the other tab (on bottom) Food Eaten Part 1 before you come here.  Only fill in the green.  The yellow will complete automatically.</t>
  </si>
  <si>
    <t>Pounds of grain equiv (lbs)</t>
  </si>
  <si>
    <t>Pounds (lbs) of grain equiv.</t>
  </si>
  <si>
    <t xml:space="preserve">Total Pounds (lbs) 
of Grain
Equiv from fish/game.
</t>
  </si>
  <si>
    <t>Total Pounds (lbs) 
of Grain
Equiv from MEAT</t>
  </si>
  <si>
    <t xml:space="preserve">Total Pounds (lbs) 
of Grain
Equiv from dairy
</t>
  </si>
  <si>
    <t>Grand Total 
of Pounds 
of grain equiv from Fruits/ 
Vegtables Consumed</t>
  </si>
  <si>
    <t xml:space="preserve">Conversion 
into 
Pounds (lbs) of grain
</t>
  </si>
  <si>
    <t xml:space="preserve">Conversion 
into 
Pounds (lbs) of grains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</si>
</sst>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indexed="8"/>
      <name val="Times New Roman"/>
      <family val="1"/>
    </font>
    <font>
      <b/>
      <sz val="14"/>
      <color indexed="8"/>
      <name val="Times New Roman"/>
      <family val="1"/>
    </font>
    <font>
      <sz val="14"/>
      <color indexed="10"/>
      <name val="Times New Roman"/>
      <family val="1"/>
    </font>
    <font>
      <b/>
      <sz val="14"/>
      <color rgb="FF000000"/>
      <name val="Times New Roman"/>
      <family val="1"/>
    </font>
    <font>
      <sz val="16"/>
      <color indexed="8"/>
      <name val="Times New Roman"/>
      <family val="1"/>
    </font>
    <font>
      <sz val="18"/>
      <color indexed="8"/>
      <name val="Times New Roman"/>
      <family val="1"/>
    </font>
    <font>
      <sz val="20"/>
      <color indexed="8"/>
      <name val="Times New Roman"/>
      <family val="1"/>
    </font>
    <font>
      <sz val="18"/>
      <color indexed="10"/>
      <name val="Calibri"/>
      <family val="2"/>
    </font>
    <font>
      <sz val="18"/>
      <color theme="1"/>
      <name val="Calibri"/>
      <family val="2"/>
      <scheme val="minor"/>
    </font>
    <font>
      <sz val="20"/>
      <color indexed="10"/>
      <name val="Calibri"/>
      <family val="2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/>
    <xf numFmtId="0" fontId="1" fillId="2" borderId="1" xfId="0" applyFont="1" applyFill="1" applyBorder="1" applyAlignment="1">
      <alignment vertical="top" wrapText="1"/>
    </xf>
    <xf numFmtId="0" fontId="0" fillId="2" borderId="2" xfId="0" applyFill="1" applyBorder="1" applyAlignment="1">
      <alignment wrapText="1"/>
    </xf>
    <xf numFmtId="0" fontId="1" fillId="2" borderId="2" xfId="0" applyFont="1" applyFill="1" applyBorder="1"/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/>
    <xf numFmtId="0" fontId="1" fillId="2" borderId="3" xfId="0" applyFont="1" applyFill="1" applyBorder="1" applyAlignment="1">
      <alignment vertical="top"/>
    </xf>
    <xf numFmtId="0" fontId="1" fillId="2" borderId="4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1" fillId="4" borderId="0" xfId="0" applyFont="1" applyFill="1"/>
    <xf numFmtId="0" fontId="1" fillId="2" borderId="6" xfId="0" applyFont="1" applyFill="1" applyBorder="1" applyAlignment="1">
      <alignment wrapText="1"/>
    </xf>
    <xf numFmtId="0" fontId="1" fillId="2" borderId="7" xfId="0" applyFont="1" applyFill="1" applyBorder="1"/>
    <xf numFmtId="0" fontId="1" fillId="0" borderId="1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8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3" borderId="5" xfId="0" applyFont="1" applyFill="1" applyBorder="1"/>
    <xf numFmtId="0" fontId="5" fillId="0" borderId="5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8" fillId="2" borderId="5" xfId="0" applyFont="1" applyFill="1" applyBorder="1" applyAlignment="1">
      <alignment wrapText="1"/>
    </xf>
    <xf numFmtId="0" fontId="9" fillId="0" borderId="0" xfId="0" applyFont="1" applyAlignment="1">
      <alignment wrapText="1"/>
    </xf>
    <xf numFmtId="0" fontId="10" fillId="2" borderId="0" xfId="0" applyFont="1" applyFill="1"/>
    <xf numFmtId="0" fontId="9" fillId="5" borderId="0" xfId="0" applyFont="1" applyFill="1" applyAlignment="1">
      <alignment wrapText="1"/>
    </xf>
    <xf numFmtId="0" fontId="11" fillId="5" borderId="0" xfId="0" applyFont="1" applyFill="1"/>
    <xf numFmtId="0" fontId="1" fillId="4" borderId="8" xfId="0" applyFont="1" applyFill="1" applyBorder="1"/>
    <xf numFmtId="0" fontId="1" fillId="6" borderId="0" xfId="0" applyFont="1" applyFill="1" applyAlignment="1">
      <alignment wrapText="1"/>
    </xf>
    <xf numFmtId="0" fontId="12" fillId="0" borderId="0" xfId="0" applyFont="1" applyAlignment="1">
      <alignment horizontal="center" wrapText="1"/>
    </xf>
    <xf numFmtId="0" fontId="6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5"/>
  <sheetViews>
    <sheetView topLeftCell="A9" workbookViewId="0">
      <selection activeCell="E3" sqref="E3"/>
    </sheetView>
  </sheetViews>
  <sheetFormatPr defaultRowHeight="15" x14ac:dyDescent="0.25"/>
  <cols>
    <col min="1" max="1" width="18.7109375" customWidth="1"/>
    <col min="2" max="2" width="24.140625" customWidth="1"/>
    <col min="3" max="3" width="14.140625" customWidth="1"/>
    <col min="4" max="4" width="23.28515625" customWidth="1"/>
    <col min="5" max="5" width="10.5703125" customWidth="1"/>
    <col min="6" max="6" width="16.42578125" customWidth="1"/>
    <col min="7" max="7" width="12.5703125" customWidth="1"/>
    <col min="8" max="8" width="12" customWidth="1"/>
    <col min="9" max="9" width="22.85546875" customWidth="1"/>
    <col min="10" max="10" width="18.85546875" customWidth="1"/>
    <col min="11" max="11" width="23.7109375" customWidth="1"/>
    <col min="12" max="12" width="12.28515625" customWidth="1"/>
    <col min="13" max="13" width="11" customWidth="1"/>
    <col min="15" max="15" width="10.7109375" customWidth="1"/>
    <col min="16" max="16" width="12.7109375" customWidth="1"/>
    <col min="17" max="17" width="14.140625" customWidth="1"/>
  </cols>
  <sheetData>
    <row r="1" spans="1:16" ht="29.25" thickBot="1" x14ac:dyDescent="0.5">
      <c r="A1" s="39" t="s">
        <v>125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6" ht="77.25" customHeight="1" thickBot="1" x14ac:dyDescent="0.35">
      <c r="A2" s="28" t="s">
        <v>0</v>
      </c>
      <c r="C2" s="2" t="s">
        <v>15</v>
      </c>
      <c r="D2" s="2" t="s">
        <v>115</v>
      </c>
      <c r="E2" s="2" t="s">
        <v>127</v>
      </c>
      <c r="F2" s="4"/>
      <c r="G2" s="4"/>
      <c r="H2" s="2" t="s">
        <v>10</v>
      </c>
      <c r="I2" s="4"/>
      <c r="J2" s="2" t="s">
        <v>5</v>
      </c>
      <c r="K2" s="2" t="s">
        <v>133</v>
      </c>
      <c r="L2" s="2" t="s">
        <v>127</v>
      </c>
      <c r="M2" s="4"/>
      <c r="N2" s="3"/>
    </row>
    <row r="3" spans="1:16" ht="54.75" customHeight="1" x14ac:dyDescent="0.3">
      <c r="B3" s="2" t="s">
        <v>1</v>
      </c>
      <c r="C3" s="18"/>
      <c r="D3" s="3" t="s">
        <v>6</v>
      </c>
      <c r="E3" s="3">
        <f>C3/8</f>
        <v>0</v>
      </c>
      <c r="F3" s="3"/>
      <c r="G3" s="3"/>
      <c r="H3" s="3"/>
      <c r="I3" s="2" t="s">
        <v>12</v>
      </c>
      <c r="J3" s="18"/>
      <c r="K3" s="3" t="s">
        <v>8</v>
      </c>
      <c r="L3" s="3">
        <f>J3/4</f>
        <v>0</v>
      </c>
      <c r="M3" s="3"/>
      <c r="N3" s="3"/>
    </row>
    <row r="4" spans="1:16" ht="111" customHeight="1" x14ac:dyDescent="0.3">
      <c r="B4" s="2" t="s">
        <v>2</v>
      </c>
      <c r="C4" s="18"/>
      <c r="D4" s="3" t="s">
        <v>6</v>
      </c>
      <c r="E4" s="3">
        <f>C4/8</f>
        <v>0</v>
      </c>
      <c r="F4" s="3"/>
      <c r="G4" s="3"/>
      <c r="H4" s="3"/>
      <c r="I4" s="2" t="s">
        <v>118</v>
      </c>
      <c r="J4" s="18"/>
      <c r="K4" s="3" t="s">
        <v>8</v>
      </c>
      <c r="L4" s="3">
        <f>J4/4</f>
        <v>0</v>
      </c>
      <c r="M4" s="3"/>
      <c r="N4" s="3"/>
    </row>
    <row r="5" spans="1:16" ht="35.25" customHeight="1" thickBot="1" x14ac:dyDescent="0.35">
      <c r="B5" s="2" t="s">
        <v>3</v>
      </c>
      <c r="C5" s="18"/>
      <c r="D5" s="3" t="s">
        <v>6</v>
      </c>
      <c r="E5" s="3">
        <f>C5/8</f>
        <v>0</v>
      </c>
      <c r="F5" s="3"/>
      <c r="G5" s="3"/>
      <c r="H5" s="3"/>
      <c r="I5" s="2" t="s">
        <v>11</v>
      </c>
      <c r="J5" s="18"/>
      <c r="K5" s="3" t="s">
        <v>8</v>
      </c>
      <c r="L5" s="3">
        <f>J5/4</f>
        <v>0</v>
      </c>
      <c r="M5" s="3"/>
      <c r="N5" s="3"/>
    </row>
    <row r="6" spans="1:16" ht="99.75" customHeight="1" thickBot="1" x14ac:dyDescent="0.35">
      <c r="B6" s="1" t="s">
        <v>116</v>
      </c>
      <c r="C6" s="18"/>
      <c r="D6" s="3" t="s">
        <v>6</v>
      </c>
      <c r="E6" s="3">
        <f>C6/8</f>
        <v>0</v>
      </c>
      <c r="F6" s="3"/>
      <c r="G6" s="3"/>
      <c r="H6" s="3"/>
      <c r="I6" s="3"/>
      <c r="J6" s="3"/>
      <c r="K6" s="9" t="s">
        <v>132</v>
      </c>
      <c r="L6" s="11">
        <f>SUM(L3,L4,L5)</f>
        <v>0</v>
      </c>
      <c r="M6" s="3"/>
      <c r="N6" s="3"/>
      <c r="O6" s="3"/>
      <c r="P6" s="3"/>
    </row>
    <row r="7" spans="1:16" ht="96.75" customHeight="1" x14ac:dyDescent="0.3">
      <c r="B7" s="2" t="s">
        <v>4</v>
      </c>
      <c r="C7" s="18"/>
      <c r="D7" s="3" t="s">
        <v>7</v>
      </c>
      <c r="E7" s="3">
        <f>C7/10</f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ht="57.75" customHeight="1" thickBot="1" x14ac:dyDescent="0.35">
      <c r="B8" s="1" t="s">
        <v>117</v>
      </c>
      <c r="C8" s="19"/>
      <c r="D8" s="1" t="s">
        <v>8</v>
      </c>
      <c r="E8" s="3">
        <f>C8/4</f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ht="79.5" customHeight="1" thickBot="1" x14ac:dyDescent="0.3">
      <c r="D9" s="9" t="s">
        <v>9</v>
      </c>
      <c r="E9" s="10">
        <f>SUM(E3, E4, E5, E6, E7, E8)</f>
        <v>0</v>
      </c>
    </row>
    <row r="10" spans="1:16" ht="15.75" thickBot="1" x14ac:dyDescent="0.3"/>
    <row r="11" spans="1:16" ht="80.25" customHeight="1" thickBot="1" x14ac:dyDescent="0.3">
      <c r="A11" s="29" t="s">
        <v>13</v>
      </c>
      <c r="C11" s="2" t="s">
        <v>121</v>
      </c>
      <c r="D11" s="2" t="s">
        <v>18</v>
      </c>
      <c r="F11" s="2" t="s">
        <v>21</v>
      </c>
      <c r="G11" s="2" t="s">
        <v>22</v>
      </c>
      <c r="I11" s="30" t="s">
        <v>27</v>
      </c>
      <c r="K11" s="2" t="s">
        <v>5</v>
      </c>
      <c r="L11" s="2" t="s">
        <v>134</v>
      </c>
      <c r="M11" s="2" t="s">
        <v>128</v>
      </c>
    </row>
    <row r="12" spans="1:16" ht="82.5" customHeight="1" x14ac:dyDescent="0.3">
      <c r="B12" s="2" t="s">
        <v>16</v>
      </c>
      <c r="C12" s="18"/>
      <c r="D12" s="3" t="s">
        <v>19</v>
      </c>
      <c r="E12" s="3">
        <f>C12*7.5</f>
        <v>0</v>
      </c>
      <c r="F12" s="1" t="s">
        <v>24</v>
      </c>
      <c r="G12" s="3">
        <f>E12*2</f>
        <v>0</v>
      </c>
      <c r="H12" s="3"/>
      <c r="I12" s="3"/>
      <c r="J12" s="2" t="s">
        <v>29</v>
      </c>
      <c r="K12" s="18"/>
      <c r="L12" s="3" t="s">
        <v>30</v>
      </c>
      <c r="M12" s="3">
        <f>K12/2</f>
        <v>0</v>
      </c>
    </row>
    <row r="13" spans="1:16" ht="72" customHeight="1" thickBot="1" x14ac:dyDescent="0.35">
      <c r="B13" s="2" t="s">
        <v>14</v>
      </c>
      <c r="C13" s="18"/>
      <c r="D13" s="3" t="s">
        <v>20</v>
      </c>
      <c r="E13" s="3">
        <f>C13*4</f>
        <v>0</v>
      </c>
      <c r="F13" s="1" t="s">
        <v>25</v>
      </c>
      <c r="G13" s="3">
        <f>E13*1.2</f>
        <v>0</v>
      </c>
      <c r="H13" s="3"/>
      <c r="I13" s="3"/>
      <c r="J13" s="4" t="s">
        <v>28</v>
      </c>
      <c r="K13" s="18"/>
      <c r="L13" s="3" t="s">
        <v>30</v>
      </c>
      <c r="M13" s="3">
        <f>K13/2</f>
        <v>0</v>
      </c>
    </row>
    <row r="14" spans="1:16" ht="114" customHeight="1" thickBot="1" x14ac:dyDescent="0.35">
      <c r="B14" s="2" t="s">
        <v>17</v>
      </c>
      <c r="C14" s="18"/>
      <c r="D14" s="3" t="s">
        <v>23</v>
      </c>
      <c r="E14" s="3">
        <f>C14*2.4</f>
        <v>0</v>
      </c>
      <c r="F14" s="1" t="s">
        <v>26</v>
      </c>
      <c r="G14" s="3">
        <f>E14*1.3</f>
        <v>0</v>
      </c>
      <c r="H14" s="3"/>
      <c r="I14" s="3"/>
      <c r="J14" s="3"/>
      <c r="K14" s="3"/>
      <c r="L14" s="9" t="s">
        <v>131</v>
      </c>
      <c r="M14" s="11">
        <f>SUM(M12,M13)</f>
        <v>0</v>
      </c>
    </row>
    <row r="15" spans="1:16" ht="96" customHeight="1" thickBot="1" x14ac:dyDescent="0.35">
      <c r="C15" s="3"/>
      <c r="D15" s="3"/>
      <c r="E15" s="3"/>
      <c r="F15" s="9" t="s">
        <v>130</v>
      </c>
      <c r="G15" s="11">
        <f>SUM(G12,G13,G14)</f>
        <v>0</v>
      </c>
      <c r="H15" s="3"/>
      <c r="I15" s="3"/>
      <c r="J15" s="3"/>
      <c r="K15" s="3"/>
      <c r="L15" s="3"/>
      <c r="M15" s="3"/>
    </row>
    <row r="16" spans="1:16" ht="18.75" x14ac:dyDescent="0.3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7" ht="78.75" customHeight="1" x14ac:dyDescent="0.3">
      <c r="A17" s="31" t="s">
        <v>31</v>
      </c>
      <c r="B17" s="3"/>
      <c r="C17" s="2" t="s">
        <v>15</v>
      </c>
      <c r="D17" s="2" t="s">
        <v>18</v>
      </c>
      <c r="F17" s="2" t="s">
        <v>21</v>
      </c>
      <c r="G17" s="2" t="s">
        <v>22</v>
      </c>
      <c r="H17" s="3"/>
      <c r="I17" s="3"/>
      <c r="J17" s="3"/>
      <c r="K17" s="3"/>
      <c r="L17" s="3"/>
      <c r="M17" s="3"/>
    </row>
    <row r="18" spans="1:17" ht="75" customHeight="1" x14ac:dyDescent="0.3">
      <c r="A18" s="3"/>
      <c r="B18" s="1" t="s">
        <v>32</v>
      </c>
      <c r="C18" s="18"/>
      <c r="D18" s="3" t="s">
        <v>35</v>
      </c>
      <c r="E18" s="3">
        <f>C18*1</f>
        <v>0</v>
      </c>
      <c r="F18" s="1" t="s">
        <v>25</v>
      </c>
      <c r="G18" s="3">
        <f>E18*1.2</f>
        <v>0</v>
      </c>
      <c r="H18" s="3"/>
      <c r="I18" s="3"/>
      <c r="J18" s="3"/>
      <c r="K18" s="3"/>
      <c r="L18" s="3"/>
      <c r="M18" s="3"/>
    </row>
    <row r="19" spans="1:17" ht="78" customHeight="1" x14ac:dyDescent="0.3">
      <c r="A19" s="3"/>
      <c r="B19" s="2" t="s">
        <v>33</v>
      </c>
      <c r="C19" s="18"/>
      <c r="D19" s="3" t="s">
        <v>36</v>
      </c>
      <c r="E19" s="3">
        <f>C19*2</f>
        <v>0</v>
      </c>
      <c r="F19" s="1" t="s">
        <v>25</v>
      </c>
      <c r="G19" s="3">
        <f>E19*1.2</f>
        <v>0</v>
      </c>
      <c r="H19" s="3"/>
      <c r="I19" s="3"/>
      <c r="J19" s="3"/>
      <c r="K19" s="3"/>
      <c r="L19" s="3"/>
      <c r="M19" s="3"/>
    </row>
    <row r="20" spans="1:17" ht="79.5" customHeight="1" x14ac:dyDescent="0.3">
      <c r="A20" s="3"/>
      <c r="B20" s="1" t="s">
        <v>34</v>
      </c>
      <c r="C20" s="18"/>
      <c r="D20" s="3" t="s">
        <v>19</v>
      </c>
      <c r="E20" s="3">
        <f>C20*7.5</f>
        <v>0</v>
      </c>
      <c r="F20" s="1" t="s">
        <v>24</v>
      </c>
      <c r="G20" s="3">
        <f>E20*2</f>
        <v>0</v>
      </c>
      <c r="H20" s="3"/>
      <c r="I20" s="3"/>
      <c r="J20" s="3"/>
      <c r="K20" s="3"/>
      <c r="L20" s="3"/>
      <c r="M20" s="3"/>
    </row>
    <row r="21" spans="1:17" ht="188.25" thickBot="1" x14ac:dyDescent="0.35">
      <c r="A21" s="3"/>
      <c r="B21" s="3"/>
      <c r="C21" s="3"/>
      <c r="D21" s="3"/>
      <c r="E21" s="3"/>
      <c r="F21" s="7" t="s">
        <v>129</v>
      </c>
      <c r="G21" s="8">
        <f>SUM(G18,G19,G20)</f>
        <v>0</v>
      </c>
      <c r="H21" s="3"/>
    </row>
    <row r="22" spans="1:17" ht="94.5" thickBot="1" x14ac:dyDescent="0.45">
      <c r="A22" s="32" t="s">
        <v>119</v>
      </c>
      <c r="B22" s="34">
        <f>G21+G15+E9+L6+M14</f>
        <v>0</v>
      </c>
      <c r="C22" s="33" t="s">
        <v>122</v>
      </c>
    </row>
    <row r="23" spans="1:17" ht="93.75" x14ac:dyDescent="0.4">
      <c r="A23" s="35" t="s">
        <v>124</v>
      </c>
      <c r="B23" s="36">
        <f>E9+L6</f>
        <v>0</v>
      </c>
      <c r="C23" s="33" t="s">
        <v>122</v>
      </c>
    </row>
    <row r="24" spans="1:17" ht="117" x14ac:dyDescent="0.4">
      <c r="A24" s="35" t="s">
        <v>123</v>
      </c>
      <c r="B24" s="36">
        <f>G15+M14</f>
        <v>0</v>
      </c>
      <c r="C24" s="33" t="s">
        <v>122</v>
      </c>
      <c r="Q24" t="e" cm="1">
        <f t="array" ref="Q24">+B20:Q24B17:Q24L11C21:Q24B14:Q24L11C21:Q2A1:Q24</f>
        <v>#NAME?</v>
      </c>
    </row>
    <row r="25" spans="1:17" ht="23.25" x14ac:dyDescent="0.35">
      <c r="C25" s="33"/>
    </row>
  </sheetData>
  <mergeCells count="1">
    <mergeCell ref="A1:M1"/>
  </mergeCells>
  <phoneticPr fontId="0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zoomScale="50" zoomScaleNormal="50" workbookViewId="0">
      <pane ySplit="2" topLeftCell="A15" activePane="bottomLeft" state="frozen"/>
      <selection pane="bottomLeft" activeCell="E36" sqref="E36"/>
    </sheetView>
  </sheetViews>
  <sheetFormatPr defaultRowHeight="15" x14ac:dyDescent="0.25"/>
  <cols>
    <col min="1" max="1" width="21.85546875" customWidth="1"/>
    <col min="2" max="2" width="19" customWidth="1"/>
    <col min="3" max="3" width="22.5703125" customWidth="1"/>
    <col min="4" max="4" width="17.42578125" customWidth="1"/>
    <col min="5" max="5" width="14.85546875" customWidth="1"/>
    <col min="6" max="6" width="20.28515625" customWidth="1"/>
    <col min="7" max="7" width="12.28515625" bestFit="1" customWidth="1"/>
    <col min="8" max="8" width="38.7109375" customWidth="1"/>
  </cols>
  <sheetData>
    <row r="1" spans="1:15" ht="18.75" x14ac:dyDescent="0.3">
      <c r="A1" s="40" t="s">
        <v>126</v>
      </c>
      <c r="B1" s="40"/>
      <c r="C1" s="40"/>
      <c r="D1" s="40"/>
      <c r="E1" s="40"/>
      <c r="F1" s="40"/>
      <c r="G1" s="40"/>
      <c r="H1" s="40"/>
      <c r="I1" s="3"/>
      <c r="J1" s="3"/>
      <c r="K1" s="3"/>
      <c r="L1" s="3"/>
      <c r="M1" s="3"/>
      <c r="N1" s="3"/>
      <c r="O1" s="3"/>
    </row>
    <row r="2" spans="1:15" ht="18.75" x14ac:dyDescent="0.3">
      <c r="A2" s="40"/>
      <c r="B2" s="40"/>
      <c r="C2" s="40"/>
      <c r="D2" s="40"/>
      <c r="E2" s="40"/>
      <c r="F2" s="40"/>
      <c r="G2" s="40"/>
      <c r="H2" s="40"/>
      <c r="I2" s="4"/>
      <c r="J2" s="4"/>
      <c r="K2" s="4"/>
      <c r="L2" s="4"/>
      <c r="M2" s="4"/>
      <c r="N2" s="3"/>
      <c r="O2" s="3"/>
    </row>
    <row r="3" spans="1:15" ht="93.75" x14ac:dyDescent="0.3">
      <c r="B3" s="5" t="s">
        <v>83</v>
      </c>
      <c r="C3" s="3"/>
      <c r="D3" s="2" t="s">
        <v>37</v>
      </c>
      <c r="E3" s="2" t="s">
        <v>76</v>
      </c>
      <c r="F3" s="2" t="s">
        <v>71</v>
      </c>
      <c r="G3" s="2" t="s">
        <v>58</v>
      </c>
      <c r="H3" s="6" t="s">
        <v>87</v>
      </c>
      <c r="I3" s="3"/>
      <c r="J3" s="3"/>
      <c r="K3" s="3"/>
      <c r="L3" s="3"/>
      <c r="M3" s="3"/>
      <c r="N3" s="3"/>
      <c r="O3" s="3"/>
    </row>
    <row r="4" spans="1:15" ht="37.5" x14ac:dyDescent="0.3">
      <c r="B4" s="3"/>
      <c r="C4" s="2" t="s">
        <v>38</v>
      </c>
      <c r="D4" s="2" t="s">
        <v>99</v>
      </c>
      <c r="E4" s="18" t="s">
        <v>102</v>
      </c>
      <c r="F4" s="1" t="s">
        <v>100</v>
      </c>
      <c r="G4" s="20" t="e">
        <f>E4*1/8</f>
        <v>#VALUE!</v>
      </c>
      <c r="H4" s="3"/>
      <c r="I4" s="3"/>
      <c r="J4" s="3"/>
      <c r="K4" s="3"/>
      <c r="L4" s="3"/>
      <c r="M4" s="3"/>
      <c r="N4" s="3"/>
      <c r="O4" s="3"/>
    </row>
    <row r="5" spans="1:15" ht="93.75" x14ac:dyDescent="0.3">
      <c r="B5" s="3"/>
      <c r="C5" s="2" t="s">
        <v>39</v>
      </c>
      <c r="D5" s="2" t="s">
        <v>101</v>
      </c>
      <c r="E5" s="18" t="s">
        <v>102</v>
      </c>
      <c r="F5" s="3" t="s">
        <v>80</v>
      </c>
      <c r="G5" s="20" t="e">
        <f>E5*1</f>
        <v>#VALUE!</v>
      </c>
      <c r="H5" s="3"/>
      <c r="I5" s="3"/>
      <c r="J5" s="3"/>
      <c r="K5" s="3"/>
      <c r="L5" s="3"/>
      <c r="M5" s="3"/>
      <c r="N5" s="3"/>
      <c r="O5" s="3"/>
    </row>
    <row r="6" spans="1:15" ht="150" x14ac:dyDescent="0.3">
      <c r="B6" s="3"/>
      <c r="C6" s="2" t="s">
        <v>40</v>
      </c>
      <c r="D6" s="2" t="s">
        <v>59</v>
      </c>
      <c r="E6" s="18" t="s">
        <v>102</v>
      </c>
      <c r="F6" s="1" t="s">
        <v>86</v>
      </c>
      <c r="G6" s="20" t="e">
        <f>E6*2.5</f>
        <v>#VALUE!</v>
      </c>
      <c r="H6" s="3"/>
      <c r="I6" s="3"/>
      <c r="J6" s="3"/>
      <c r="K6" s="3"/>
      <c r="L6" s="3"/>
      <c r="M6" s="3"/>
      <c r="N6" s="3"/>
      <c r="O6" s="3"/>
    </row>
    <row r="7" spans="1:15" ht="75" x14ac:dyDescent="0.3">
      <c r="B7" s="3"/>
      <c r="C7" s="2" t="s">
        <v>41</v>
      </c>
      <c r="D7" s="2" t="s">
        <v>60</v>
      </c>
      <c r="E7" s="18" t="s">
        <v>102</v>
      </c>
      <c r="F7" s="3" t="s">
        <v>77</v>
      </c>
      <c r="G7" s="20" t="e">
        <f>E7*7</f>
        <v>#VALUE!</v>
      </c>
      <c r="H7" s="3"/>
      <c r="I7" s="3"/>
      <c r="J7" s="3"/>
      <c r="K7" s="3"/>
      <c r="L7" s="3"/>
      <c r="M7" s="3"/>
      <c r="N7" s="3"/>
      <c r="O7" s="3"/>
    </row>
    <row r="8" spans="1:15" ht="56.25" x14ac:dyDescent="0.3">
      <c r="B8" s="3"/>
      <c r="C8" s="2" t="s">
        <v>42</v>
      </c>
      <c r="D8" s="2" t="s">
        <v>78</v>
      </c>
      <c r="E8" s="18" t="s">
        <v>102</v>
      </c>
      <c r="F8" s="3" t="s">
        <v>79</v>
      </c>
      <c r="G8" s="20" t="e">
        <f>E8*30</f>
        <v>#VALUE!</v>
      </c>
      <c r="H8" s="3"/>
      <c r="I8" s="3"/>
      <c r="J8" s="3"/>
      <c r="K8" s="3"/>
      <c r="L8" s="3"/>
      <c r="M8" s="3"/>
      <c r="N8" s="3"/>
      <c r="O8" s="3"/>
    </row>
    <row r="9" spans="1:15" ht="75" x14ac:dyDescent="0.3">
      <c r="B9" s="3"/>
      <c r="C9" s="2" t="s">
        <v>64</v>
      </c>
      <c r="D9" s="2" t="s">
        <v>66</v>
      </c>
      <c r="E9" s="18" t="s">
        <v>102</v>
      </c>
      <c r="F9" s="3" t="s">
        <v>80</v>
      </c>
      <c r="G9" s="20" t="e">
        <f>E9*1</f>
        <v>#VALUE!</v>
      </c>
      <c r="H9" s="3"/>
      <c r="I9" s="3"/>
      <c r="J9" s="3"/>
      <c r="K9" s="3"/>
      <c r="L9" s="3"/>
      <c r="M9" s="3"/>
      <c r="N9" s="3"/>
      <c r="O9" s="3"/>
    </row>
    <row r="10" spans="1:15" ht="75" x14ac:dyDescent="0.3">
      <c r="B10" s="3"/>
      <c r="C10" s="2" t="s">
        <v>65</v>
      </c>
      <c r="D10" s="2" t="s">
        <v>66</v>
      </c>
      <c r="E10" s="18" t="s">
        <v>102</v>
      </c>
      <c r="F10" s="3" t="s">
        <v>80</v>
      </c>
      <c r="G10" s="20" t="e">
        <f>E10*1</f>
        <v>#VALUE!</v>
      </c>
      <c r="H10" s="3"/>
      <c r="I10" s="3"/>
      <c r="J10" s="3"/>
      <c r="K10" s="3"/>
      <c r="L10" s="3"/>
      <c r="M10" s="3"/>
      <c r="N10" s="3"/>
      <c r="O10" s="3"/>
    </row>
    <row r="11" spans="1:15" ht="75" x14ac:dyDescent="0.3">
      <c r="B11" s="3"/>
      <c r="C11" s="2" t="s">
        <v>43</v>
      </c>
      <c r="D11" s="2" t="s">
        <v>61</v>
      </c>
      <c r="E11" s="18" t="s">
        <v>102</v>
      </c>
      <c r="F11" s="3" t="s">
        <v>79</v>
      </c>
      <c r="G11" s="20" t="e">
        <f>E11*30</f>
        <v>#VALUE!</v>
      </c>
      <c r="H11" s="3"/>
      <c r="I11" s="3"/>
      <c r="J11" s="3"/>
      <c r="K11" s="3"/>
      <c r="L11" s="3"/>
      <c r="M11" s="3"/>
      <c r="N11" s="3"/>
      <c r="O11" s="3"/>
    </row>
    <row r="12" spans="1:15" ht="93.75" x14ac:dyDescent="0.3">
      <c r="B12" s="3"/>
      <c r="C12" s="2" t="s">
        <v>44</v>
      </c>
      <c r="D12" s="2" t="s">
        <v>62</v>
      </c>
      <c r="E12" s="18" t="s">
        <v>103</v>
      </c>
      <c r="F12" s="3" t="s">
        <v>72</v>
      </c>
      <c r="G12" s="20" t="e">
        <f>E12*40</f>
        <v>#VALUE!</v>
      </c>
      <c r="H12" s="3"/>
      <c r="I12" s="3"/>
      <c r="J12" s="3"/>
      <c r="K12" s="3"/>
      <c r="L12" s="3"/>
      <c r="M12" s="3"/>
      <c r="N12" s="3"/>
      <c r="O12" s="3"/>
    </row>
    <row r="13" spans="1:15" ht="56.25" x14ac:dyDescent="0.3">
      <c r="A13" s="4"/>
      <c r="B13" s="3"/>
      <c r="C13" s="2" t="s">
        <v>45</v>
      </c>
      <c r="D13" s="2" t="s">
        <v>63</v>
      </c>
      <c r="E13" s="18" t="s">
        <v>102</v>
      </c>
      <c r="F13" s="1" t="s">
        <v>81</v>
      </c>
      <c r="G13" s="20" t="e">
        <f>E13*3</f>
        <v>#VALUE!</v>
      </c>
      <c r="H13" s="3"/>
      <c r="I13" s="3"/>
      <c r="J13" s="3"/>
      <c r="K13" s="3"/>
      <c r="L13" s="3"/>
      <c r="M13" s="3"/>
      <c r="N13" s="3"/>
      <c r="O13" s="3"/>
    </row>
    <row r="14" spans="1:15" ht="56.25" x14ac:dyDescent="0.3">
      <c r="A14" s="4"/>
      <c r="B14" s="3"/>
      <c r="C14" s="2" t="s">
        <v>105</v>
      </c>
      <c r="D14" s="2" t="s">
        <v>104</v>
      </c>
      <c r="E14" s="18"/>
      <c r="F14" s="1" t="s">
        <v>106</v>
      </c>
      <c r="G14" s="20">
        <f>E14</f>
        <v>0</v>
      </c>
      <c r="H14" s="3"/>
      <c r="I14" s="3"/>
      <c r="J14" s="3"/>
      <c r="K14" s="3"/>
      <c r="L14" s="3"/>
      <c r="M14" s="3"/>
      <c r="N14" s="3"/>
      <c r="O14" s="3"/>
    </row>
    <row r="15" spans="1:15" ht="56.25" x14ac:dyDescent="0.3">
      <c r="A15" s="4"/>
      <c r="C15" s="3"/>
      <c r="D15" s="4"/>
      <c r="E15" s="3"/>
      <c r="F15" s="12" t="s">
        <v>82</v>
      </c>
      <c r="G15" s="13" t="e">
        <f>SUM(G4,G5,G6,G7,G8,G9,G10,G11,G12,G13,G14)</f>
        <v>#VALUE!</v>
      </c>
      <c r="H15" s="3"/>
      <c r="I15" s="3"/>
      <c r="J15" s="3"/>
      <c r="K15" s="3"/>
      <c r="L15" s="3"/>
      <c r="M15" s="3"/>
      <c r="N15" s="3"/>
      <c r="O15" s="3"/>
    </row>
    <row r="16" spans="1:15" ht="75" x14ac:dyDescent="0.3">
      <c r="A16" s="4"/>
      <c r="B16" s="2" t="s">
        <v>84</v>
      </c>
      <c r="D16" s="4"/>
      <c r="E16" s="2" t="s">
        <v>75</v>
      </c>
      <c r="F16" s="2" t="s">
        <v>71</v>
      </c>
      <c r="G16" s="2" t="s">
        <v>58</v>
      </c>
      <c r="H16" s="6" t="s">
        <v>87</v>
      </c>
      <c r="I16" s="3"/>
      <c r="J16" s="3"/>
      <c r="K16" s="3"/>
      <c r="L16" s="3"/>
      <c r="M16" s="3"/>
      <c r="N16" s="3"/>
      <c r="O16" s="3"/>
    </row>
    <row r="17" spans="1:15" ht="75" x14ac:dyDescent="0.3">
      <c r="A17" s="3"/>
      <c r="B17" s="3"/>
      <c r="C17" s="2" t="s">
        <v>46</v>
      </c>
      <c r="D17" s="2" t="s">
        <v>67</v>
      </c>
      <c r="E17" s="20">
        <f>('Food Eaten Part 1'!C12+'Food Eaten Part 1'!C13+'Food Eaten Part 1'!C14)</f>
        <v>0</v>
      </c>
      <c r="F17" s="1" t="s">
        <v>120</v>
      </c>
      <c r="G17" s="20">
        <f>E17*2530</f>
        <v>0</v>
      </c>
      <c r="H17" s="3"/>
      <c r="I17" s="3"/>
      <c r="J17" s="3"/>
      <c r="K17" s="3"/>
      <c r="L17" s="3"/>
      <c r="M17" s="3"/>
      <c r="N17" s="3"/>
      <c r="O17" s="3"/>
    </row>
    <row r="18" spans="1:15" ht="75" x14ac:dyDescent="0.3">
      <c r="A18" s="3"/>
      <c r="B18" s="3"/>
      <c r="C18" s="2" t="s">
        <v>47</v>
      </c>
      <c r="D18" s="2" t="s">
        <v>67</v>
      </c>
      <c r="E18" s="20">
        <f>('Food Eaten Part 1'!E4+'Food Eaten Part 1'!E5)</f>
        <v>0</v>
      </c>
      <c r="F18" s="1" t="s">
        <v>107</v>
      </c>
      <c r="G18" s="20">
        <f>E18*505</f>
        <v>0</v>
      </c>
      <c r="H18" s="3"/>
      <c r="I18" s="3"/>
      <c r="J18" s="3"/>
      <c r="K18" s="3"/>
      <c r="L18" s="3"/>
      <c r="M18" s="3"/>
      <c r="N18" s="3"/>
      <c r="O18" s="3"/>
    </row>
    <row r="19" spans="1:15" ht="75" x14ac:dyDescent="0.3">
      <c r="A19" s="3"/>
      <c r="B19" s="3"/>
      <c r="C19" s="2" t="s">
        <v>48</v>
      </c>
      <c r="D19" s="2" t="s">
        <v>67</v>
      </c>
      <c r="E19" s="20">
        <f>'Food Eaten Part 1'!E8</f>
        <v>0</v>
      </c>
      <c r="F19" s="1" t="s">
        <v>108</v>
      </c>
      <c r="G19" s="20">
        <f>E19*25</f>
        <v>0</v>
      </c>
      <c r="H19" s="3"/>
      <c r="I19" s="3"/>
      <c r="J19" s="3"/>
      <c r="K19" s="3"/>
      <c r="L19" s="3"/>
      <c r="M19" s="3"/>
      <c r="N19" s="3"/>
      <c r="O19" s="3"/>
    </row>
    <row r="20" spans="1:15" ht="75" x14ac:dyDescent="0.3">
      <c r="A20" s="3"/>
      <c r="B20" s="3"/>
      <c r="C20" s="2" t="s">
        <v>49</v>
      </c>
      <c r="D20" s="2" t="s">
        <v>68</v>
      </c>
      <c r="E20" s="20">
        <f>'Food Eaten Part 1'!M12+'Food Eaten Part 1'!M13</f>
        <v>0</v>
      </c>
      <c r="F20" s="1" t="s">
        <v>109</v>
      </c>
      <c r="G20" s="20">
        <f>E20*900</f>
        <v>0</v>
      </c>
      <c r="H20" s="3"/>
      <c r="I20" s="3"/>
      <c r="J20" s="3"/>
      <c r="K20" s="3"/>
      <c r="L20" s="3"/>
      <c r="M20" s="3"/>
      <c r="N20" s="3"/>
      <c r="O20" s="3"/>
    </row>
    <row r="21" spans="1:15" ht="75" x14ac:dyDescent="0.3">
      <c r="A21" s="3"/>
      <c r="B21" s="3"/>
      <c r="C21" s="2" t="s">
        <v>50</v>
      </c>
      <c r="D21" s="2" t="s">
        <v>69</v>
      </c>
      <c r="E21" s="20">
        <f>'Food Eaten Part 1'!E3</f>
        <v>0</v>
      </c>
      <c r="F21" s="1" t="s">
        <v>110</v>
      </c>
      <c r="G21" s="20">
        <f>E21*150</f>
        <v>0</v>
      </c>
      <c r="H21" s="3"/>
      <c r="I21" s="3"/>
      <c r="J21" s="3"/>
      <c r="K21" s="3"/>
      <c r="L21" s="3"/>
      <c r="M21" s="3"/>
      <c r="N21" s="3"/>
      <c r="O21" s="3"/>
    </row>
    <row r="22" spans="1:15" ht="56.25" x14ac:dyDescent="0.3">
      <c r="A22" s="3"/>
      <c r="B22" s="3"/>
      <c r="C22" s="2" t="s">
        <v>51</v>
      </c>
      <c r="D22" s="2" t="s">
        <v>70</v>
      </c>
      <c r="E22" s="20">
        <f>'Food Eaten Part 1'!L3</f>
        <v>0</v>
      </c>
      <c r="F22" s="1" t="s">
        <v>111</v>
      </c>
      <c r="G22" s="20">
        <f>E22*125</f>
        <v>0</v>
      </c>
      <c r="H22" s="3"/>
      <c r="I22" s="3"/>
      <c r="J22" s="3"/>
      <c r="K22" s="3"/>
      <c r="L22" s="3"/>
      <c r="M22" s="3"/>
      <c r="N22" s="3"/>
      <c r="O22" s="3"/>
    </row>
    <row r="23" spans="1:15" ht="56.25" x14ac:dyDescent="0.3">
      <c r="A23" s="3"/>
      <c r="B23" s="3"/>
      <c r="C23" s="2" t="s">
        <v>52</v>
      </c>
      <c r="D23" s="2" t="s">
        <v>74</v>
      </c>
      <c r="E23" s="20">
        <f>'Food Eaten Part 1'!L4+'Food Eaten Part 1'!L5</f>
        <v>0</v>
      </c>
      <c r="F23" s="1" t="s">
        <v>112</v>
      </c>
      <c r="G23" s="20">
        <f>E23*40</f>
        <v>0</v>
      </c>
      <c r="H23" s="3"/>
      <c r="I23" s="3"/>
      <c r="J23" s="3"/>
      <c r="K23" s="3"/>
      <c r="L23" s="3"/>
      <c r="M23" s="3"/>
      <c r="N23" s="3"/>
      <c r="O23" s="3"/>
    </row>
    <row r="24" spans="1:15" ht="57" thickBot="1" x14ac:dyDescent="0.35">
      <c r="A24" s="3"/>
      <c r="B24" s="3"/>
      <c r="C24" s="2" t="s">
        <v>53</v>
      </c>
      <c r="D24" s="2" t="s">
        <v>67</v>
      </c>
      <c r="E24" s="20">
        <f>'Food Eaten Part 1'!E6+'Food Eaten Part 1'!E7</f>
        <v>0</v>
      </c>
      <c r="F24" s="1" t="s">
        <v>111</v>
      </c>
      <c r="G24" s="20">
        <f>E24*125</f>
        <v>0</v>
      </c>
      <c r="H24" s="3"/>
      <c r="I24" s="3"/>
      <c r="J24" s="3"/>
      <c r="K24" s="3"/>
      <c r="L24" s="3"/>
      <c r="M24" s="3"/>
      <c r="N24" s="3"/>
      <c r="O24" s="3"/>
    </row>
    <row r="25" spans="1:15" ht="75.75" thickBot="1" x14ac:dyDescent="0.35">
      <c r="A25" s="3"/>
      <c r="B25" s="3"/>
      <c r="C25" s="23" t="s">
        <v>54</v>
      </c>
      <c r="D25" s="24" t="s">
        <v>73</v>
      </c>
      <c r="E25" s="27"/>
      <c r="F25" s="25" t="s">
        <v>113</v>
      </c>
      <c r="G25" s="37">
        <f>E25*260</f>
        <v>0</v>
      </c>
      <c r="H25" s="26" t="s">
        <v>114</v>
      </c>
      <c r="I25" s="3"/>
      <c r="J25" s="3"/>
      <c r="K25" s="3"/>
      <c r="L25" s="3"/>
      <c r="M25" s="3"/>
      <c r="N25" s="3"/>
      <c r="O25" s="3"/>
    </row>
    <row r="26" spans="1:15" ht="57" thickBot="1" x14ac:dyDescent="0.35">
      <c r="A26" s="3"/>
      <c r="D26" s="4"/>
      <c r="E26" s="3"/>
      <c r="F26" s="21" t="s">
        <v>85</v>
      </c>
      <c r="G26" s="22">
        <f>SUM(G17,G18,G19,G20,G21,G22,G23,G24,G25)</f>
        <v>0</v>
      </c>
      <c r="H26" s="3"/>
      <c r="I26" s="3"/>
      <c r="J26" s="3"/>
      <c r="K26" s="3"/>
      <c r="L26" s="3"/>
      <c r="M26" s="3"/>
      <c r="N26" s="3"/>
      <c r="O26" s="3"/>
    </row>
    <row r="27" spans="1:15" ht="56.25" x14ac:dyDescent="0.3">
      <c r="A27" s="3"/>
      <c r="B27" s="2" t="s">
        <v>91</v>
      </c>
      <c r="C27" s="4"/>
      <c r="D27" s="2" t="s">
        <v>92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ht="37.5" x14ac:dyDescent="0.3">
      <c r="A28" s="3"/>
      <c r="B28" s="3"/>
      <c r="C28" s="2" t="s">
        <v>55</v>
      </c>
      <c r="D28" s="2" t="s">
        <v>93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ht="37.5" x14ac:dyDescent="0.3">
      <c r="A29" s="3"/>
      <c r="B29" s="3"/>
      <c r="C29" s="2" t="s">
        <v>56</v>
      </c>
      <c r="D29" s="2" t="s">
        <v>94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ht="37.5" x14ac:dyDescent="0.3">
      <c r="A30" s="3"/>
      <c r="B30" s="3"/>
      <c r="C30" s="1" t="s">
        <v>57</v>
      </c>
      <c r="D30" s="1" t="s">
        <v>95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56.25" x14ac:dyDescent="0.3">
      <c r="A31" s="1"/>
      <c r="D31" s="14" t="s">
        <v>96</v>
      </c>
      <c r="E31" s="15" t="s">
        <v>97</v>
      </c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ht="56.25" x14ac:dyDescent="0.3">
      <c r="A32" s="1" t="s">
        <v>90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ht="56.25" x14ac:dyDescent="0.3">
      <c r="A33" s="3"/>
      <c r="B33" s="3"/>
      <c r="C33" s="1" t="s">
        <v>89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ht="75" x14ac:dyDescent="0.3">
      <c r="A34" s="3"/>
      <c r="B34" s="38" t="s">
        <v>82</v>
      </c>
      <c r="C34" s="20" t="e">
        <f>G15</f>
        <v>#VALUE!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ht="56.25" x14ac:dyDescent="0.3">
      <c r="A35" s="3"/>
      <c r="B35" s="38" t="s">
        <v>85</v>
      </c>
      <c r="C35" s="20">
        <f>G26</f>
        <v>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ht="94.5" thickBot="1" x14ac:dyDescent="0.35">
      <c r="A36" s="3"/>
      <c r="B36" s="38" t="s">
        <v>98</v>
      </c>
      <c r="C36" s="20">
        <v>907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ht="38.25" thickBot="1" x14ac:dyDescent="0.35">
      <c r="A37" s="3"/>
      <c r="B37" s="16" t="s">
        <v>88</v>
      </c>
      <c r="C37" s="17" t="e">
        <f>SUM(C34,C35,C36)</f>
        <v>#VALUE!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ht="18.75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ht="18.75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ht="18.75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ht="18.75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mergeCells count="1">
    <mergeCell ref="A1:H2"/>
  </mergeCells>
  <phoneticPr fontId="0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17"/>
  <sheetViews>
    <sheetView topLeftCell="A10" workbookViewId="0">
      <selection activeCell="A12" sqref="A1:M12"/>
    </sheetView>
  </sheetViews>
  <sheetFormatPr defaultRowHeight="15" x14ac:dyDescent="0.25"/>
  <cols>
    <col min="1" max="1" width="16.5703125" customWidth="1"/>
    <col min="2" max="2" width="11.85546875" customWidth="1"/>
    <col min="3" max="3" width="16.42578125" customWidth="1"/>
    <col min="4" max="4" width="15.28515625" customWidth="1"/>
    <col min="6" max="6" width="14.85546875" customWidth="1"/>
    <col min="7" max="7" width="13" customWidth="1"/>
    <col min="8" max="8" width="13.85546875" customWidth="1"/>
    <col min="10" max="10" width="15.85546875" customWidth="1"/>
    <col min="11" max="11" width="13.42578125" customWidth="1"/>
    <col min="12" max="12" width="13.28515625" customWidth="1"/>
  </cols>
  <sheetData>
    <row r="2" spans="1:15" ht="18.75" x14ac:dyDescent="0.25">
      <c r="A2" s="2"/>
      <c r="C2" s="2"/>
      <c r="D2" s="2"/>
      <c r="F2" s="2"/>
      <c r="G2" s="2"/>
      <c r="I2" s="2"/>
      <c r="K2" s="2"/>
      <c r="L2" s="2"/>
      <c r="M2" s="2"/>
      <c r="N2" s="4"/>
      <c r="O2" s="4"/>
    </row>
    <row r="3" spans="1:15" ht="18.75" x14ac:dyDescent="0.3">
      <c r="B3" s="2"/>
      <c r="C3" s="3"/>
      <c r="D3" s="3"/>
      <c r="E3" s="3"/>
      <c r="F3" s="1"/>
      <c r="G3" s="3"/>
      <c r="H3" s="3"/>
      <c r="I3" s="3"/>
      <c r="J3" s="2"/>
      <c r="K3" s="3"/>
      <c r="L3" s="3"/>
      <c r="M3" s="3"/>
      <c r="N3" s="3"/>
      <c r="O3" s="3"/>
    </row>
    <row r="4" spans="1:15" ht="18.75" x14ac:dyDescent="0.3">
      <c r="B4" s="2"/>
      <c r="C4" s="3"/>
      <c r="D4" s="3"/>
      <c r="E4" s="3"/>
      <c r="F4" s="1"/>
      <c r="G4" s="3"/>
      <c r="H4" s="3"/>
      <c r="I4" s="3"/>
      <c r="J4" s="4"/>
      <c r="K4" s="3"/>
      <c r="L4" s="3"/>
      <c r="M4" s="3"/>
      <c r="N4" s="3"/>
      <c r="O4" s="3"/>
    </row>
    <row r="5" spans="1:15" ht="18.75" x14ac:dyDescent="0.3">
      <c r="B5" s="2"/>
      <c r="C5" s="3"/>
      <c r="D5" s="3"/>
      <c r="E5" s="3"/>
      <c r="F5" s="1"/>
      <c r="G5" s="3"/>
      <c r="H5" s="3"/>
      <c r="I5" s="3"/>
      <c r="J5" s="3"/>
      <c r="K5" s="3"/>
      <c r="L5" s="2"/>
      <c r="M5" s="3"/>
      <c r="N5" s="3"/>
      <c r="O5" s="3"/>
    </row>
    <row r="6" spans="1:15" ht="18.75" x14ac:dyDescent="0.3">
      <c r="C6" s="3"/>
      <c r="D6" s="3"/>
      <c r="E6" s="3"/>
      <c r="F6" s="2"/>
      <c r="G6" s="3"/>
      <c r="H6" s="3"/>
      <c r="I6" s="3"/>
      <c r="J6" s="3"/>
      <c r="K6" s="3"/>
      <c r="L6" s="3"/>
      <c r="M6" s="3"/>
      <c r="N6" s="3"/>
      <c r="O6" s="3"/>
    </row>
    <row r="7" spans="1:15" ht="18.75" x14ac:dyDescent="0.3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8.75" x14ac:dyDescent="0.3">
      <c r="A8" s="2"/>
      <c r="B8" s="3"/>
      <c r="C8" s="2"/>
      <c r="D8" s="2"/>
      <c r="F8" s="2"/>
      <c r="G8" s="2"/>
      <c r="H8" s="3"/>
      <c r="I8" s="3"/>
      <c r="J8" s="3"/>
      <c r="K8" s="3"/>
      <c r="L8" s="3"/>
      <c r="M8" s="3"/>
      <c r="N8" s="3"/>
      <c r="O8" s="3"/>
    </row>
    <row r="9" spans="1:15" ht="18.75" x14ac:dyDescent="0.3">
      <c r="A9" s="3"/>
      <c r="B9" s="1"/>
      <c r="C9" s="3"/>
      <c r="D9" s="3"/>
      <c r="E9" s="3"/>
      <c r="F9" s="1"/>
      <c r="G9" s="3"/>
      <c r="H9" s="3"/>
      <c r="I9" s="3"/>
      <c r="J9" s="3"/>
      <c r="K9" s="3"/>
      <c r="L9" s="3"/>
      <c r="M9" s="3"/>
      <c r="N9" s="3"/>
      <c r="O9" s="3"/>
    </row>
    <row r="10" spans="1:15" ht="18.75" x14ac:dyDescent="0.3">
      <c r="A10" s="3"/>
      <c r="B10" s="2"/>
      <c r="C10" s="3"/>
      <c r="D10" s="3"/>
      <c r="E10" s="3"/>
      <c r="F10" s="1"/>
      <c r="G10" s="3"/>
      <c r="H10" s="3"/>
      <c r="I10" s="3"/>
      <c r="J10" s="3"/>
      <c r="K10" s="3"/>
      <c r="L10" s="3"/>
      <c r="M10" s="3"/>
      <c r="N10" s="3"/>
      <c r="O10" s="3"/>
    </row>
    <row r="11" spans="1:15" ht="18.75" x14ac:dyDescent="0.3">
      <c r="A11" s="3"/>
      <c r="B11" s="1"/>
      <c r="C11" s="3"/>
      <c r="D11" s="3"/>
      <c r="E11" s="3"/>
      <c r="F11" s="1"/>
      <c r="G11" s="3"/>
      <c r="H11" s="3"/>
      <c r="I11" s="3"/>
      <c r="J11" s="3"/>
      <c r="K11" s="3"/>
      <c r="L11" s="3"/>
      <c r="M11" s="3"/>
      <c r="N11" s="3"/>
      <c r="O11" s="3"/>
    </row>
    <row r="12" spans="1:15" ht="18.75" x14ac:dyDescent="0.3">
      <c r="A12" s="3"/>
      <c r="B12" s="3"/>
      <c r="C12" s="3"/>
      <c r="D12" s="3"/>
      <c r="E12" s="3"/>
      <c r="F12" s="2"/>
      <c r="G12" s="3"/>
      <c r="H12" s="3"/>
    </row>
    <row r="13" spans="1:15" ht="18.75" x14ac:dyDescent="0.3">
      <c r="A13" s="3"/>
      <c r="B13" s="3"/>
      <c r="C13" s="3"/>
      <c r="D13" s="3"/>
      <c r="E13" s="3"/>
      <c r="F13" s="3"/>
      <c r="G13" s="3"/>
      <c r="H13" s="3"/>
    </row>
    <row r="14" spans="1:15" ht="18.75" x14ac:dyDescent="0.3">
      <c r="A14" s="3"/>
      <c r="B14" s="3"/>
      <c r="C14" s="3"/>
      <c r="D14" s="3"/>
      <c r="E14" s="3"/>
      <c r="F14" s="3"/>
      <c r="G14" s="3"/>
      <c r="H14" s="3"/>
    </row>
    <row r="15" spans="1:15" ht="18.75" x14ac:dyDescent="0.3">
      <c r="A15" s="3"/>
      <c r="B15" s="3"/>
      <c r="C15" s="3"/>
      <c r="D15" s="3"/>
      <c r="E15" s="3"/>
      <c r="F15" s="3"/>
      <c r="G15" s="3"/>
      <c r="H15" s="3"/>
    </row>
    <row r="16" spans="1:15" ht="18.75" x14ac:dyDescent="0.3">
      <c r="A16" s="3"/>
      <c r="B16" s="3"/>
      <c r="C16" s="3"/>
      <c r="D16" s="3"/>
      <c r="E16" s="3"/>
      <c r="F16" s="3"/>
      <c r="G16" s="3"/>
      <c r="H16" s="3"/>
    </row>
    <row r="17" spans="1:8" ht="18.75" x14ac:dyDescent="0.3">
      <c r="A17" s="3"/>
      <c r="B17" s="3"/>
      <c r="C17" s="3"/>
      <c r="D17" s="3"/>
      <c r="E17" s="3"/>
      <c r="F17" s="3"/>
      <c r="G17" s="3"/>
      <c r="H17" s="3"/>
    </row>
  </sheetData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 Eaten Part 1</vt:lpstr>
      <vt:lpstr>Total Water Uses</vt:lpstr>
      <vt:lpstr>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</dc:creator>
  <cp:lastModifiedBy>Lahti, Richard D</cp:lastModifiedBy>
  <dcterms:created xsi:type="dcterms:W3CDTF">2007-09-12T01:56:26Z</dcterms:created>
  <dcterms:modified xsi:type="dcterms:W3CDTF">2026-03-02T16:31:33Z</dcterms:modified>
</cp:coreProperties>
</file>