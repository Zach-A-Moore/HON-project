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Food Eaten Part 1"/>
    <sheet r:id="rId2" sheetId="2" name="Total Water Uses"/>
    <sheet r:id="rId3" sheetId="3" name="Sheet1"/>
  </sheets>
  <calcPr fullCalcOnLoad="1"/>
</workbook>
</file>

<file path=xl/sharedStrings.xml><?xml version="1.0" encoding="utf-8"?>
<sst xmlns="http://schemas.openxmlformats.org/spreadsheetml/2006/main" count="175" uniqueCount="135">
  <si>
    <t>Make sure you compete the other tab (on bottom) Food Eaten Part 1 before you come here.  Only fill in the green.  The yellow will complete automatically.</t>
  </si>
  <si>
    <t>Personal use
of Water</t>
  </si>
  <si>
    <t xml:space="preserve">How many times 
a week do you…..
</t>
  </si>
  <si>
    <t>Number of times used per week</t>
  </si>
  <si>
    <t>Conversion
 into gallons of water</t>
  </si>
  <si>
    <t>Number of
gallons per week</t>
  </si>
  <si>
    <t xml:space="preserve">Your Comments </t>
  </si>
  <si>
    <t xml:space="preserve">Drink water
</t>
  </si>
  <si>
    <t>Small (16oz) bottle.</t>
  </si>
  <si>
    <t xml:space="preserve"> </t>
  </si>
  <si>
    <t>Multiply by 1/8 to get gallons.</t>
  </si>
  <si>
    <t xml:space="preserve">Use water to cook
</t>
  </si>
  <si>
    <t>Number of 
meals that used water in a week (pasta, rice, etc.)</t>
  </si>
  <si>
    <t>Multiply by 1</t>
  </si>
  <si>
    <t xml:space="preserve">Flush the toilet
</t>
  </si>
  <si>
    <t>Number of 
total flushes
in a week</t>
  </si>
  <si>
    <t>Multiply by 2.5
*note that toilets range in the amount of gallons of water they use per flush between 1 and 4, this is an average</t>
  </si>
  <si>
    <t xml:space="preserve">Take a shower
</t>
  </si>
  <si>
    <t>Number of 
total minutes
in the shower for the week</t>
  </si>
  <si>
    <t>Multiply by 7</t>
  </si>
  <si>
    <t xml:space="preserve">Take a bath
</t>
  </si>
  <si>
    <t xml:space="preserve">Number of 
baths
</t>
  </si>
  <si>
    <t>Multiply by 30</t>
  </si>
  <si>
    <t>Shave with 
running water
*under a faucet, not in the shower</t>
  </si>
  <si>
    <t>Number of 
total minutes in a week</t>
  </si>
  <si>
    <t>Brush your teeth
with running water
*under a faucet, not in the shower</t>
  </si>
  <si>
    <t xml:space="preserve">Wash Dishes
</t>
  </si>
  <si>
    <t>Number of loads of dishes in a week</t>
  </si>
  <si>
    <t xml:space="preserve">Wash Clothes
</t>
  </si>
  <si>
    <t>Number of loads of clothes washed in a week</t>
  </si>
  <si>
    <t xml:space="preserve">  </t>
  </si>
  <si>
    <t>Multiply by 40</t>
  </si>
  <si>
    <t xml:space="preserve">Watering the lawn
</t>
  </si>
  <si>
    <t>Number of minutes per head</t>
  </si>
  <si>
    <t>Multiply by 3 per head</t>
  </si>
  <si>
    <t>Other water use?  Wash car?</t>
  </si>
  <si>
    <t>Estimate number of gallons?</t>
  </si>
  <si>
    <t>E14 x 1</t>
  </si>
  <si>
    <r>
      <t xml:space="preserve">Subtotal of </t>
    </r>
    <r>
      <rPr>
        <b/>
        <sz val="14"/>
        <color rgb="FF000000"/>
        <rFont val="Times New Roman"/>
        <family val="2"/>
      </rPr>
      <t xml:space="preserve">Personal </t>
    </r>
    <r>
      <rPr>
        <sz val="14"/>
        <color rgb="FF000000"/>
        <rFont val="Times New Roman"/>
        <family val="2"/>
      </rPr>
      <t>use of water in a week</t>
    </r>
  </si>
  <si>
    <r>
      <t/>
    </r>
    <r>
      <rPr>
        <b/>
        <sz val="14"/>
        <color rgb="FF000000"/>
        <rFont val="Times New Roman"/>
        <family val="2"/>
      </rPr>
      <t>Indirect use
of water</t>
    </r>
    <r>
      <rPr>
        <sz val="14"/>
        <color rgb="FF000000"/>
        <rFont val="Times New Roman"/>
        <family val="2"/>
      </rPr>
      <t xml:space="preserve">
</t>
    </r>
  </si>
  <si>
    <t>Amount consumed per week</t>
  </si>
  <si>
    <t xml:space="preserve">Meat Consumption
</t>
  </si>
  <si>
    <t>Number of pounds consumed</t>
  </si>
  <si>
    <t>Multiply by 2530 (water used in raising, etc. per pound of cow)</t>
  </si>
  <si>
    <t xml:space="preserve">Rice/Cereal
</t>
  </si>
  <si>
    <t>Multiply by 505 (water used in growing, etc. grain)</t>
  </si>
  <si>
    <t xml:space="preserve">Potatoes
</t>
  </si>
  <si>
    <t>Multiply by 25 (water used in growing, etc. potatoes)</t>
  </si>
  <si>
    <t xml:space="preserve">Milk
</t>
  </si>
  <si>
    <t>Number of gallons consumed</t>
  </si>
  <si>
    <t>Multiply by 900 (water used in maintaining dairy cows)</t>
  </si>
  <si>
    <t xml:space="preserve">Loaf of Bread
</t>
  </si>
  <si>
    <t>Number of loaves consumed</t>
  </si>
  <si>
    <t>Multiply by 150 (water used in growing, grain, etc.)</t>
  </si>
  <si>
    <t>Serving of 
Vegtables</t>
  </si>
  <si>
    <t>Number of vegtables consumed</t>
  </si>
  <si>
    <t>Multiply by 125 (water used in growing, etc.)</t>
  </si>
  <si>
    <t xml:space="preserve">Fruit
</t>
  </si>
  <si>
    <t xml:space="preserve">Number of pieces of fruit
</t>
  </si>
  <si>
    <t>Multiply by 40 (water used in growing, etc.)</t>
  </si>
  <si>
    <t>Sugar (even in 
candy)</t>
  </si>
  <si>
    <t xml:space="preserve">Aluminum
</t>
  </si>
  <si>
    <t xml:space="preserve">Number of cans
</t>
  </si>
  <si>
    <t>Multiply by 260 (water used in the processing of the ore)</t>
  </si>
  <si>
    <t>This number can be lessened considerably if you recycle your cans.  260 down to about 13, give or take…</t>
  </si>
  <si>
    <r>
      <t xml:space="preserve">Subtotal of </t>
    </r>
    <r>
      <rPr>
        <b/>
        <sz val="14"/>
        <color rgb="FF000000"/>
        <rFont val="Times New Roman"/>
        <family val="2"/>
      </rPr>
      <t>indirect</t>
    </r>
    <r>
      <rPr>
        <sz val="14"/>
        <color rgb="FF000000"/>
        <rFont val="Times New Roman"/>
        <family val="2"/>
      </rPr>
      <t xml:space="preserve"> use of water in a week</t>
    </r>
  </si>
  <si>
    <t xml:space="preserve">Other Indirect
Uses of Water
</t>
  </si>
  <si>
    <t>The average American uses</t>
  </si>
  <si>
    <t xml:space="preserve">Producing Energy
</t>
  </si>
  <si>
    <t>632 gallons of water</t>
  </si>
  <si>
    <t>Mining and
Manufacturing</t>
  </si>
  <si>
    <t>185 gallons of water</t>
  </si>
  <si>
    <t>Commericial (Jobs
and Services</t>
  </si>
  <si>
    <t>90 gallons of water</t>
  </si>
  <si>
    <t>For a total of...</t>
  </si>
  <si>
    <t>907 gallons of water a week</t>
  </si>
  <si>
    <t>Your grand total of gallons of water used per week</t>
  </si>
  <si>
    <t xml:space="preserve">Amount of water 
in gallons
</t>
  </si>
  <si>
    <t>Subtotal of indirect use of water in a week of an Average American</t>
  </si>
  <si>
    <t>Total water you used per week</t>
  </si>
  <si>
    <t>juice, veggies, etc</t>
  </si>
  <si>
    <t>Part 1: 
The Grains/
Carbohydrates</t>
  </si>
  <si>
    <t>Number of servings 
consumed in a week</t>
  </si>
  <si>
    <t>Conversion 
into 
Pounds (lbs)
of grain</t>
  </si>
  <si>
    <t>Pounds of grain equiv (lbs)</t>
  </si>
  <si>
    <t>Part 2:
Fruits/
Vegtables</t>
  </si>
  <si>
    <t xml:space="preserve">Number of servings 
consumed in a week
</t>
  </si>
  <si>
    <t xml:space="preserve">Conversion 
into 
Pounds (lbs) of grain
</t>
  </si>
  <si>
    <t>Bread 
(bagels per half, buns per half, etc)</t>
  </si>
  <si>
    <t>Servings/8</t>
  </si>
  <si>
    <t xml:space="preserve">Servings of 
vegetables 
(4 oz)
</t>
  </si>
  <si>
    <t>Servings/4</t>
  </si>
  <si>
    <t xml:space="preserve">Pasta, rice, 
oatmeal per cup cooked 
</t>
  </si>
  <si>
    <t>Fruit
(1 apple,
 orange, etc.)
or bunch of grapes, small bag of cherries, etc.</t>
  </si>
  <si>
    <t xml:space="preserve">Cereal dry 
(add milk below)
</t>
  </si>
  <si>
    <t xml:space="preserve">Juice (juice glass)
 wine (glass)
</t>
  </si>
  <si>
    <t xml:space="preserve">Candy per bar (regular, not mini (figure 3 or 4 = 1) or king (Figure 1 king = 2 regular)
</t>
  </si>
  <si>
    <t>Grand Total 
of Pounds 
of grain equiv from Fruits/ 
Vegtables Consumed</t>
  </si>
  <si>
    <t xml:space="preserve">Regular pop/
Koolaid/beer
per 12 oz can 
or 1 shot of liquor (x1.6 for 20oz pop)
</t>
  </si>
  <si>
    <t>Servings/10</t>
  </si>
  <si>
    <t xml:space="preserve">Potatoes - small serving - 1 ice cream scoop like in the cafeteria...
</t>
  </si>
  <si>
    <t>Grand Total 
of Pounds 
of Carbohydrates
Consumed</t>
  </si>
  <si>
    <t>Part 3: 
Animal Items</t>
  </si>
  <si>
    <r>
      <t xml:space="preserve">Number of </t>
    </r>
    <r>
      <rPr>
        <b/>
        <sz val="14"/>
        <color rgb="FF000000"/>
        <rFont val="Times New Roman"/>
        <family val="2"/>
      </rPr>
      <t>pounds</t>
    </r>
    <r>
      <rPr>
        <sz val="14"/>
        <color rgb="FF000000"/>
        <rFont val="Times New Roman"/>
        <family val="2"/>
      </rPr>
      <t xml:space="preserve">
consumed in a week</t>
    </r>
  </si>
  <si>
    <t xml:space="preserve">Conversion 
into 
Pounds (lbs)
of Grains
</t>
  </si>
  <si>
    <t>Waste 
Conversion</t>
  </si>
  <si>
    <t>Pounds (lbs) 
of Grain
Equivalent</t>
  </si>
  <si>
    <t>Part 4: 
Dairy</t>
  </si>
  <si>
    <t xml:space="preserve">Conversion 
into 
Pounds (lbs) of grains
</t>
  </si>
  <si>
    <t>Pounds (lbs) of grain equiv.</t>
  </si>
  <si>
    <t xml:space="preserve">Pounds of
Beef
</t>
  </si>
  <si>
    <t>Serving X 7.5</t>
  </si>
  <si>
    <t>Conversion into
pounds of grain X 2</t>
  </si>
  <si>
    <t>8 oz glasses milk
or yogurt or 
ice cream etc.</t>
  </si>
  <si>
    <t>Servings/2</t>
  </si>
  <si>
    <t>Pounds of 
Chicken</t>
  </si>
  <si>
    <t>Serving X 4</t>
  </si>
  <si>
    <t>Conversion into
pounds of grain X 1.2</t>
  </si>
  <si>
    <t>2 oz cheese</t>
  </si>
  <si>
    <t xml:space="preserve">Pounds of 
Pork
</t>
  </si>
  <si>
    <t>Serving X 2.4</t>
  </si>
  <si>
    <t>Conversion into
pounds of grain X 1.3</t>
  </si>
  <si>
    <t xml:space="preserve">Total Pounds (lbs) 
of Grain
Equiv from dairy
</t>
  </si>
  <si>
    <t>Total Pounds (lbs) 
of Grain
Equiv from MEAT</t>
  </si>
  <si>
    <t xml:space="preserve">Bonus
Resources
</t>
  </si>
  <si>
    <t xml:space="preserve">Pounds of 
Caught Fish
</t>
  </si>
  <si>
    <t>Serving X 1</t>
  </si>
  <si>
    <t xml:space="preserve">Pounds of 
Farm Fish
</t>
  </si>
  <si>
    <t>Serving X 2</t>
  </si>
  <si>
    <t xml:space="preserve">Pounds of 
Hunted Meat
</t>
  </si>
  <si>
    <t xml:space="preserve">Total Pounds (lbs) 
of Grain
Equiv from fish/game.
</t>
  </si>
  <si>
    <t>SUPER MEGA GRAND TOTAL</t>
  </si>
  <si>
    <t>lbs of grain/ plants</t>
  </si>
  <si>
    <t>Plants eaten directly by you</t>
  </si>
  <si>
    <t>Plants fed to animals to make YOUR meat and dairy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</si>
</sst>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3" x14ac:knownFonts="1">
    <font>
      <sz val="11"/>
      <color theme="1"/>
      <name val="Calibri"/>
      <family val="2"/>
      <scheme val="minor"/>
    </font>
    <font>
      <sz val="14"/>
      <color rgb="FF000000"/>
      <name val="Times New Roman"/>
      <family val="2"/>
    </font>
    <font>
      <sz val="18"/>
      <color rgb="FF000000"/>
      <name val="Times New Roman"/>
      <family val="2"/>
    </font>
    <font>
      <b/>
      <sz val="14"/>
      <color rgb="FF000000"/>
      <name val="Times New Roman"/>
      <family val="2"/>
    </font>
    <font>
      <sz val="14"/>
      <color rgb="FFff0000"/>
      <name val="Times New Roman"/>
      <family val="2"/>
    </font>
    <font>
      <sz val="22"/>
      <color rgb="FF000000"/>
      <name val="Calibri"/>
      <family val="2"/>
    </font>
    <font>
      <sz val="16"/>
      <color rgb="FF000000"/>
      <name val="Times New Roman"/>
      <family val="2"/>
    </font>
    <font>
      <sz val="11"/>
      <color theme="1"/>
      <name val="Calibri"/>
      <family val="2"/>
    </font>
    <font>
      <sz val="20"/>
      <color rgb="FF000000"/>
      <name val="Times New Roman"/>
      <family val="2"/>
    </font>
    <font>
      <sz val="18"/>
      <color rgb="FFff0000"/>
      <name val="Calibri"/>
      <family val="2"/>
    </font>
    <font>
      <sz val="20"/>
      <color rgb="FFff0000"/>
      <name val="Calibri"/>
      <family val="2"/>
    </font>
    <font>
      <sz val="18"/>
      <color rgb="FF000000"/>
      <name val="Calibri"/>
      <family val="2"/>
    </font>
    <font>
      <sz val="2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c6d9f1"/>
      </patternFill>
    </fill>
    <fill>
      <patternFill patternType="solid">
        <fgColor rgb="FF95b3d7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4">
    <xf xfId="0" numFmtId="0" borderId="0" fontId="0" fillId="0"/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left" wrapText="1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2" applyFont="1" fillId="0" applyAlignment="1">
      <alignment horizontal="center" vertical="top"/>
    </xf>
    <xf xfId="0" numFmtId="0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3" applyFont="1" fillId="0" applyAlignment="1">
      <alignment horizontal="left" wrapText="1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 wrapText="1"/>
    </xf>
    <xf xfId="0" numFmtId="0" borderId="1" applyBorder="1" fontId="1" applyFont="1" fillId="0" applyAlignment="1">
      <alignment horizontal="center" wrapText="1"/>
    </xf>
    <xf xfId="0" numFmtId="3" applyNumberFormat="1" borderId="2" applyBorder="1" fontId="1" applyFont="1" fillId="2" applyFill="1" applyAlignment="1">
      <alignment horizontal="left"/>
    </xf>
    <xf xfId="0" numFmtId="3" applyNumberFormat="1" borderId="2" applyBorder="1" fontId="1" applyFont="1" fillId="3" applyFill="1" applyAlignment="1">
      <alignment horizontal="left"/>
    </xf>
    <xf xfId="0" numFmtId="3" applyNumberFormat="1" borderId="2" applyBorder="1" fontId="1" applyFont="1" fillId="3" applyFill="1" applyAlignment="1">
      <alignment horizontal="right"/>
    </xf>
    <xf xfId="0" numFmtId="0" borderId="3" applyBorder="1" fontId="1" applyFont="1" fillId="3" applyFill="1" applyAlignment="1">
      <alignment horizontal="left" wrapText="1"/>
    </xf>
    <xf xfId="0" numFmtId="3" applyNumberFormat="1" borderId="4" applyBorder="1" fontId="1" applyFont="1" fillId="3" applyFill="1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5" applyBorder="1" fontId="1" applyFont="1" fillId="0" applyAlignment="1">
      <alignment horizontal="left" wrapText="1"/>
    </xf>
    <xf xfId="0" numFmtId="0" borderId="6" applyBorder="1" fontId="1" applyFont="1" fillId="0" applyAlignment="1">
      <alignment horizontal="left" wrapText="1"/>
    </xf>
    <xf xfId="0" numFmtId="3" applyNumberFormat="1" borderId="7" applyBorder="1" fontId="1" applyFont="1" fillId="2" applyFill="1" applyAlignment="1">
      <alignment horizontal="left"/>
    </xf>
    <xf xfId="0" numFmtId="3" applyNumberFormat="1" borderId="8" applyBorder="1" fontId="1" applyFont="1" fillId="3" applyFill="1" applyAlignment="1">
      <alignment horizontal="right"/>
    </xf>
    <xf xfId="0" numFmtId="0" borderId="9" applyBorder="1" fontId="1" applyFont="1" fillId="0" applyAlignment="1">
      <alignment horizontal="left" wrapText="1"/>
    </xf>
    <xf xfId="0" numFmtId="0" borderId="10" applyBorder="1" fontId="1" applyFont="1" fillId="3" applyFill="1" applyAlignment="1">
      <alignment horizontal="left" wrapText="1"/>
    </xf>
    <xf xfId="0" numFmtId="3" applyNumberFormat="1" borderId="11" applyBorder="1" fontId="1" applyFont="1" fillId="3" applyFill="1" applyAlignment="1">
      <alignment horizontal="right"/>
    </xf>
    <xf xfId="0" numFmtId="0" borderId="3" applyBorder="1" fontId="1" applyFont="1" fillId="3" applyFill="1" applyAlignment="1">
      <alignment horizontal="left"/>
    </xf>
    <xf xfId="0" numFmtId="3" applyNumberFormat="1" borderId="4" applyBorder="1" fontId="1" applyFont="1" fillId="3" applyFill="1" applyAlignment="1">
      <alignment horizontal="left" wrapText="1"/>
    </xf>
    <xf xfId="0" numFmtId="0" borderId="2" applyBorder="1" fontId="1" applyFont="1" fillId="4" applyFill="1" applyAlignment="1">
      <alignment horizontal="left" wrapText="1"/>
    </xf>
    <xf xfId="0" numFmtId="0" borderId="12" applyBorder="1" fontId="4" applyFont="1" fillId="3" applyFill="1" applyAlignment="1">
      <alignment horizontal="left" wrapText="1"/>
    </xf>
    <xf xfId="0" numFmtId="3" applyNumberFormat="1" borderId="13" applyBorder="1" fontId="4" applyFont="1" fillId="3" applyFill="1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wrapText="1"/>
    </xf>
    <xf xfId="0" numFmtId="0" borderId="1" applyBorder="1" fontId="5" applyFont="1" fillId="0" applyAlignment="1">
      <alignment horizontal="center" wrapText="1"/>
    </xf>
    <xf xfId="0" numFmtId="3" applyNumberFormat="1" borderId="1" applyBorder="1" fontId="5" applyFont="1" fillId="0" applyAlignment="1">
      <alignment horizontal="center" wrapText="1"/>
    </xf>
    <xf xfId="0" numFmtId="0" borderId="0" fontId="0" fillId="0" applyAlignment="1">
      <alignment horizontal="general" wrapText="1"/>
    </xf>
    <xf xfId="0" numFmtId="0" borderId="7" applyBorder="1" fontId="6" applyFont="1" fillId="0" applyAlignment="1">
      <alignment horizontal="left" wrapText="1"/>
    </xf>
    <xf xfId="0" numFmtId="0" borderId="2" applyBorder="1" fontId="1" applyFont="1" fillId="2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12" applyBorder="1" fontId="1" applyFont="1" fillId="3" applyFill="1" applyAlignment="1">
      <alignment horizontal="left" wrapText="1"/>
    </xf>
    <xf xfId="0" numFmtId="3" applyNumberFormat="1" borderId="13" applyBorder="1" fontId="1" applyFont="1" fillId="3" applyFill="1" applyAlignment="1">
      <alignment horizontal="right"/>
    </xf>
    <xf xfId="0" numFmtId="0" borderId="2" applyBorder="1" fontId="1" applyFont="1" fillId="2" applyFill="1" applyAlignment="1">
      <alignment horizontal="left" wrapText="1"/>
    </xf>
    <xf xfId="0" numFmtId="3" applyNumberFormat="1" borderId="0" fontId="0" fillId="0" applyAlignment="1">
      <alignment horizontal="general" wrapText="1"/>
    </xf>
    <xf xfId="0" numFmtId="3" applyNumberFormat="1" borderId="13" applyBorder="1" fontId="7" applyFont="1" fillId="3" applyFill="1" applyAlignment="1">
      <alignment horizontal="right" wrapText="1"/>
    </xf>
    <xf xfId="0" numFmtId="0" borderId="7" applyBorder="1" fontId="2" applyFont="1" fillId="0" applyAlignment="1">
      <alignment horizontal="left" wrapText="1"/>
    </xf>
    <xf xfId="0" numFmtId="0" borderId="7" applyBorder="1" fontId="8" applyFont="1" fillId="0" applyAlignment="1">
      <alignment horizontal="left" wrapText="1"/>
    </xf>
    <xf xfId="0" numFmtId="3" applyNumberFormat="1" borderId="12" applyBorder="1" fontId="1" applyFont="1" fillId="3" applyFill="1" applyAlignment="1">
      <alignment horizontal="left" wrapText="1"/>
    </xf>
    <xf xfId="0" numFmtId="0" borderId="1" applyBorder="1" fontId="8" applyFont="1" fillId="0" applyAlignment="1">
      <alignment horizontal="left" wrapText="1"/>
    </xf>
    <xf xfId="0" numFmtId="0" borderId="2" applyBorder="1" fontId="1" applyFont="1" fillId="3" applyFill="1" applyAlignment="1">
      <alignment horizontal="left" wrapText="1"/>
    </xf>
    <xf xfId="0" numFmtId="0" borderId="7" applyBorder="1" fontId="9" applyFont="1" fillId="3" applyFill="1" applyAlignment="1">
      <alignment horizontal="left" wrapText="1"/>
    </xf>
    <xf xfId="0" numFmtId="3" applyNumberFormat="1" borderId="2" applyBorder="1" fontId="10" applyFont="1" fillId="3" applyFill="1" applyAlignment="1">
      <alignment horizontal="right"/>
    </xf>
    <xf xfId="0" numFmtId="0" borderId="1" applyBorder="1" fontId="11" applyFont="1" fillId="0" applyAlignment="1">
      <alignment horizontal="left" wrapText="1"/>
    </xf>
    <xf xfId="0" numFmtId="0" borderId="2" applyBorder="1" fontId="11" applyFont="1" fillId="5" applyFill="1" applyAlignment="1">
      <alignment horizontal="left" wrapText="1"/>
    </xf>
    <xf xfId="0" numFmtId="3" applyNumberFormat="1" borderId="2" applyBorder="1" fontId="12" applyFont="1" fillId="5" applyFill="1" applyAlignment="1">
      <alignment horizontal="righ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25"/>
  <sheetViews>
    <sheetView workbookViewId="0" tabSelected="1"/>
  </sheetViews>
  <sheetFormatPr defaultRowHeight="15" x14ac:dyDescent="0.25"/>
  <cols>
    <col min="1" max="1" style="4" width="18.719285714285714" customWidth="1" bestFit="1"/>
    <col min="2" max="2" style="30" width="24.14785714285714" customWidth="1" bestFit="1"/>
    <col min="3" max="3" style="4" width="14.147857142857141" customWidth="1" bestFit="1"/>
    <col min="4" max="4" style="4" width="23.290714285714284" customWidth="1" bestFit="1"/>
    <col min="5" max="5" style="30" width="10.576428571428572" customWidth="1" bestFit="1"/>
    <col min="6" max="6" style="4" width="16.433571428571426" customWidth="1" bestFit="1"/>
    <col min="7" max="7" style="30" width="12.576428571428572" customWidth="1" bestFit="1"/>
    <col min="8" max="8" style="4" width="12.005" customWidth="1" bestFit="1"/>
    <col min="9" max="9" style="4" width="22.862142857142857" customWidth="1" bestFit="1"/>
    <col min="10" max="10" style="4" width="18.862142857142857" customWidth="1" bestFit="1"/>
    <col min="11" max="11" style="4" width="23.719285714285714" customWidth="1" bestFit="1"/>
    <col min="12" max="12" style="30" width="12.290714285714287" customWidth="1" bestFit="1"/>
    <col min="13" max="13" style="30" width="11.005" customWidth="1" bestFit="1"/>
    <col min="14" max="14" style="4" width="13.576428571428572" customWidth="1" bestFit="1"/>
    <col min="15" max="15" style="4" width="10.719285714285713" customWidth="1" bestFit="1"/>
    <col min="16" max="16" style="4" width="12.719285714285713" customWidth="1" bestFit="1"/>
    <col min="17" max="17" style="4" width="14.147857142857141" customWidth="1" bestFit="1"/>
  </cols>
  <sheetData>
    <row x14ac:dyDescent="0.25" r="1" customHeight="1" ht="18.75" customFormat="1" s="31">
      <c r="A1" s="32" t="s">
        <v>80</v>
      </c>
      <c r="B1" s="33"/>
      <c r="C1" s="32"/>
      <c r="D1" s="32"/>
      <c r="E1" s="33"/>
      <c r="F1" s="32"/>
      <c r="G1" s="33"/>
      <c r="H1" s="32"/>
      <c r="I1" s="32"/>
      <c r="J1" s="32"/>
      <c r="K1" s="32"/>
      <c r="L1" s="33"/>
      <c r="M1" s="33"/>
      <c r="N1" s="34"/>
      <c r="O1" s="34"/>
      <c r="P1" s="34"/>
      <c r="Q1" s="34"/>
    </row>
    <row x14ac:dyDescent="0.25" r="2" customHeight="1" ht="77.25">
      <c r="A2" s="35" t="s">
        <v>81</v>
      </c>
      <c r="B2" s="17"/>
      <c r="C2" s="2" t="s">
        <v>82</v>
      </c>
      <c r="D2" s="2" t="s">
        <v>83</v>
      </c>
      <c r="E2" s="10" t="s">
        <v>84</v>
      </c>
      <c r="F2" s="3"/>
      <c r="G2" s="9"/>
      <c r="H2" s="2" t="s">
        <v>85</v>
      </c>
      <c r="I2" s="3"/>
      <c r="J2" s="2" t="s">
        <v>86</v>
      </c>
      <c r="K2" s="2" t="s">
        <v>87</v>
      </c>
      <c r="L2" s="10" t="s">
        <v>84</v>
      </c>
      <c r="M2" s="9"/>
      <c r="N2" s="3"/>
      <c r="O2" s="1"/>
      <c r="P2" s="1"/>
      <c r="Q2" s="1"/>
    </row>
    <row x14ac:dyDescent="0.25" r="3" customHeight="1" ht="54.75">
      <c r="A3" s="1"/>
      <c r="B3" s="10" t="s">
        <v>88</v>
      </c>
      <c r="C3" s="36"/>
      <c r="D3" s="3" t="s">
        <v>89</v>
      </c>
      <c r="E3" s="37">
        <f>C3/8</f>
      </c>
      <c r="F3" s="3"/>
      <c r="G3" s="9"/>
      <c r="H3" s="3"/>
      <c r="I3" s="2" t="s">
        <v>90</v>
      </c>
      <c r="J3" s="36"/>
      <c r="K3" s="3" t="s">
        <v>91</v>
      </c>
      <c r="L3" s="37">
        <f>J3/4</f>
      </c>
      <c r="M3" s="9"/>
      <c r="N3" s="3"/>
      <c r="O3" s="1"/>
      <c r="P3" s="1"/>
      <c r="Q3" s="1"/>
    </row>
    <row x14ac:dyDescent="0.25" r="4" customHeight="1" ht="111">
      <c r="A4" s="1"/>
      <c r="B4" s="10" t="s">
        <v>92</v>
      </c>
      <c r="C4" s="36"/>
      <c r="D4" s="3" t="s">
        <v>89</v>
      </c>
      <c r="E4" s="37">
        <f>C4/8</f>
      </c>
      <c r="F4" s="3"/>
      <c r="G4" s="9"/>
      <c r="H4" s="3"/>
      <c r="I4" s="2" t="s">
        <v>93</v>
      </c>
      <c r="J4" s="36"/>
      <c r="K4" s="3" t="s">
        <v>91</v>
      </c>
      <c r="L4" s="37">
        <f>J4/4</f>
      </c>
      <c r="M4" s="9"/>
      <c r="N4" s="3"/>
      <c r="O4" s="1"/>
      <c r="P4" s="1"/>
      <c r="Q4" s="1"/>
    </row>
    <row x14ac:dyDescent="0.25" r="5" customHeight="1" ht="35.25">
      <c r="A5" s="1"/>
      <c r="B5" s="10" t="s">
        <v>94</v>
      </c>
      <c r="C5" s="36"/>
      <c r="D5" s="3" t="s">
        <v>89</v>
      </c>
      <c r="E5" s="37">
        <f>C5/8</f>
      </c>
      <c r="F5" s="3"/>
      <c r="G5" s="9"/>
      <c r="H5" s="3"/>
      <c r="I5" s="2" t="s">
        <v>95</v>
      </c>
      <c r="J5" s="36"/>
      <c r="K5" s="3" t="s">
        <v>91</v>
      </c>
      <c r="L5" s="37">
        <f>J5/4</f>
      </c>
      <c r="M5" s="9"/>
      <c r="N5" s="3"/>
      <c r="O5" s="1"/>
      <c r="P5" s="1"/>
      <c r="Q5" s="1"/>
    </row>
    <row x14ac:dyDescent="0.25" r="6" customHeight="1" ht="99.75">
      <c r="A6" s="1"/>
      <c r="B6" s="10" t="s">
        <v>96</v>
      </c>
      <c r="C6" s="36"/>
      <c r="D6" s="3" t="s">
        <v>89</v>
      </c>
      <c r="E6" s="37">
        <f>C6/8</f>
      </c>
      <c r="F6" s="3"/>
      <c r="G6" s="9"/>
      <c r="H6" s="3"/>
      <c r="I6" s="3"/>
      <c r="J6" s="3"/>
      <c r="K6" s="38" t="s">
        <v>97</v>
      </c>
      <c r="L6" s="39">
        <f>SUM(L3,L4,L5)</f>
      </c>
      <c r="M6" s="9"/>
      <c r="N6" s="3"/>
      <c r="O6" s="3"/>
      <c r="P6" s="3"/>
      <c r="Q6" s="1"/>
    </row>
    <row x14ac:dyDescent="0.25" r="7" customHeight="1" ht="96.75">
      <c r="A7" s="1"/>
      <c r="B7" s="10" t="s">
        <v>98</v>
      </c>
      <c r="C7" s="36"/>
      <c r="D7" s="3" t="s">
        <v>99</v>
      </c>
      <c r="E7" s="37">
        <f>C7/10</f>
      </c>
      <c r="F7" s="3"/>
      <c r="G7" s="9"/>
      <c r="H7" s="3"/>
      <c r="I7" s="3"/>
      <c r="J7" s="3"/>
      <c r="K7" s="3"/>
      <c r="L7" s="9"/>
      <c r="M7" s="9"/>
      <c r="N7" s="3"/>
      <c r="O7" s="3"/>
      <c r="P7" s="3"/>
      <c r="Q7" s="1"/>
    </row>
    <row x14ac:dyDescent="0.25" r="8" customHeight="1" ht="57.75">
      <c r="A8" s="1"/>
      <c r="B8" s="10" t="s">
        <v>100</v>
      </c>
      <c r="C8" s="40"/>
      <c r="D8" s="2" t="s">
        <v>91</v>
      </c>
      <c r="E8" s="37">
        <f>C8/4</f>
      </c>
      <c r="F8" s="3"/>
      <c r="G8" s="9"/>
      <c r="H8" s="3"/>
      <c r="I8" s="3"/>
      <c r="J8" s="3"/>
      <c r="K8" s="3"/>
      <c r="L8" s="9"/>
      <c r="M8" s="9"/>
      <c r="N8" s="3"/>
      <c r="O8" s="3"/>
      <c r="P8" s="3"/>
      <c r="Q8" s="1"/>
    </row>
    <row x14ac:dyDescent="0.25" r="9" customHeight="1" ht="79.5" customFormat="1" s="31">
      <c r="A9" s="34"/>
      <c r="B9" s="41"/>
      <c r="C9" s="34"/>
      <c r="D9" s="38" t="s">
        <v>101</v>
      </c>
      <c r="E9" s="42">
        <f>SUM(E3, E4, E5, E6, E7, E8)</f>
      </c>
      <c r="F9" s="34"/>
      <c r="G9" s="41"/>
      <c r="H9" s="34"/>
      <c r="I9" s="34"/>
      <c r="J9" s="34"/>
      <c r="K9" s="34"/>
      <c r="L9" s="41"/>
      <c r="M9" s="41"/>
      <c r="N9" s="34"/>
      <c r="O9" s="34"/>
      <c r="P9" s="34"/>
      <c r="Q9" s="34"/>
    </row>
    <row x14ac:dyDescent="0.25" r="10" customHeight="1" ht="18.75">
      <c r="A10" s="1"/>
      <c r="B10" s="17"/>
      <c r="C10" s="1"/>
      <c r="D10" s="1"/>
      <c r="E10" s="17"/>
      <c r="F10" s="1"/>
      <c r="G10" s="17"/>
      <c r="H10" s="1"/>
      <c r="I10" s="1"/>
      <c r="J10" s="1"/>
      <c r="K10" s="1"/>
      <c r="L10" s="17"/>
      <c r="M10" s="17"/>
      <c r="N10" s="1"/>
      <c r="O10" s="1"/>
      <c r="P10" s="1"/>
      <c r="Q10" s="1"/>
    </row>
    <row x14ac:dyDescent="0.25" r="11" customHeight="1" ht="80.25" customFormat="1" s="31">
      <c r="A11" s="43" t="s">
        <v>102</v>
      </c>
      <c r="B11" s="41"/>
      <c r="C11" s="2" t="s">
        <v>103</v>
      </c>
      <c r="D11" s="2" t="s">
        <v>104</v>
      </c>
      <c r="E11" s="41"/>
      <c r="F11" s="2" t="s">
        <v>105</v>
      </c>
      <c r="G11" s="10" t="s">
        <v>106</v>
      </c>
      <c r="H11" s="34"/>
      <c r="I11" s="44" t="s">
        <v>107</v>
      </c>
      <c r="J11" s="34"/>
      <c r="K11" s="2" t="s">
        <v>86</v>
      </c>
      <c r="L11" s="10" t="s">
        <v>108</v>
      </c>
      <c r="M11" s="10" t="s">
        <v>109</v>
      </c>
      <c r="N11" s="34"/>
      <c r="O11" s="34"/>
      <c r="P11" s="34"/>
      <c r="Q11" s="34"/>
    </row>
    <row x14ac:dyDescent="0.25" r="12" customHeight="1" ht="82.5">
      <c r="A12" s="1"/>
      <c r="B12" s="10" t="s">
        <v>110</v>
      </c>
      <c r="C12" s="36"/>
      <c r="D12" s="3" t="s">
        <v>111</v>
      </c>
      <c r="E12" s="37">
        <f>C12*7.5</f>
      </c>
      <c r="F12" s="2" t="s">
        <v>112</v>
      </c>
      <c r="G12" s="37">
        <f>E12*2</f>
      </c>
      <c r="H12" s="3"/>
      <c r="I12" s="3"/>
      <c r="J12" s="2" t="s">
        <v>113</v>
      </c>
      <c r="K12" s="36"/>
      <c r="L12" s="9" t="s">
        <v>114</v>
      </c>
      <c r="M12" s="37">
        <f>K12/2</f>
      </c>
      <c r="N12" s="1"/>
      <c r="O12" s="1"/>
      <c r="P12" s="1"/>
      <c r="Q12" s="1"/>
    </row>
    <row x14ac:dyDescent="0.25" r="13" customHeight="1" ht="72">
      <c r="A13" s="1"/>
      <c r="B13" s="10" t="s">
        <v>115</v>
      </c>
      <c r="C13" s="36"/>
      <c r="D13" s="3" t="s">
        <v>116</v>
      </c>
      <c r="E13" s="37">
        <f>C13*4</f>
      </c>
      <c r="F13" s="2" t="s">
        <v>117</v>
      </c>
      <c r="G13" s="37">
        <f>E13*1.2</f>
      </c>
      <c r="H13" s="3"/>
      <c r="I13" s="3"/>
      <c r="J13" s="3" t="s">
        <v>118</v>
      </c>
      <c r="K13" s="36"/>
      <c r="L13" s="9" t="s">
        <v>114</v>
      </c>
      <c r="M13" s="37">
        <f>K13/2</f>
      </c>
      <c r="N13" s="1"/>
      <c r="O13" s="1"/>
      <c r="P13" s="1"/>
      <c r="Q13" s="1"/>
    </row>
    <row x14ac:dyDescent="0.25" r="14" customHeight="1" ht="114">
      <c r="A14" s="1"/>
      <c r="B14" s="10" t="s">
        <v>119</v>
      </c>
      <c r="C14" s="36"/>
      <c r="D14" s="3" t="s">
        <v>120</v>
      </c>
      <c r="E14" s="37">
        <f>C14*2.4</f>
      </c>
      <c r="F14" s="2" t="s">
        <v>121</v>
      </c>
      <c r="G14" s="37">
        <f>E14*1.3</f>
      </c>
      <c r="H14" s="3"/>
      <c r="I14" s="3"/>
      <c r="J14" s="3"/>
      <c r="K14" s="3"/>
      <c r="L14" s="45" t="s">
        <v>122</v>
      </c>
      <c r="M14" s="39">
        <f>SUM(M12,M13)</f>
      </c>
      <c r="N14" s="1"/>
      <c r="O14" s="1"/>
      <c r="P14" s="1"/>
      <c r="Q14" s="1"/>
    </row>
    <row x14ac:dyDescent="0.25" r="15" customHeight="1" ht="96">
      <c r="A15" s="1"/>
      <c r="B15" s="17"/>
      <c r="C15" s="3"/>
      <c r="D15" s="3"/>
      <c r="E15" s="9"/>
      <c r="F15" s="38" t="s">
        <v>123</v>
      </c>
      <c r="G15" s="39">
        <f>SUM(G12,G13,G14)</f>
      </c>
      <c r="H15" s="3"/>
      <c r="I15" s="3"/>
      <c r="J15" s="3"/>
      <c r="K15" s="3"/>
      <c r="L15" s="9"/>
      <c r="M15" s="9"/>
      <c r="N15" s="1"/>
      <c r="O15" s="1"/>
      <c r="P15" s="1"/>
      <c r="Q15" s="1"/>
    </row>
    <row x14ac:dyDescent="0.25" r="16" customHeight="1" ht="18.75">
      <c r="A16" s="1"/>
      <c r="B16" s="17"/>
      <c r="C16" s="3"/>
      <c r="D16" s="3"/>
      <c r="E16" s="9"/>
      <c r="F16" s="3"/>
      <c r="G16" s="9"/>
      <c r="H16" s="3"/>
      <c r="I16" s="3"/>
      <c r="J16" s="3"/>
      <c r="K16" s="3"/>
      <c r="L16" s="9"/>
      <c r="M16" s="9"/>
      <c r="N16" s="1"/>
      <c r="O16" s="1"/>
      <c r="P16" s="1"/>
      <c r="Q16" s="1"/>
    </row>
    <row x14ac:dyDescent="0.25" r="17" customHeight="1" ht="78.75">
      <c r="A17" s="46" t="s">
        <v>124</v>
      </c>
      <c r="B17" s="9"/>
      <c r="C17" s="2" t="s">
        <v>82</v>
      </c>
      <c r="D17" s="2" t="s">
        <v>104</v>
      </c>
      <c r="E17" s="17"/>
      <c r="F17" s="2" t="s">
        <v>105</v>
      </c>
      <c r="G17" s="10" t="s">
        <v>106</v>
      </c>
      <c r="H17" s="3"/>
      <c r="I17" s="3"/>
      <c r="J17" s="3"/>
      <c r="K17" s="3"/>
      <c r="L17" s="9"/>
      <c r="M17" s="9"/>
      <c r="N17" s="1"/>
      <c r="O17" s="1"/>
      <c r="P17" s="1"/>
      <c r="Q17" s="1"/>
    </row>
    <row x14ac:dyDescent="0.25" r="18" customHeight="1" ht="75">
      <c r="A18" s="3"/>
      <c r="B18" s="10" t="s">
        <v>125</v>
      </c>
      <c r="C18" s="36"/>
      <c r="D18" s="3" t="s">
        <v>126</v>
      </c>
      <c r="E18" s="37">
        <f>C18*1</f>
      </c>
      <c r="F18" s="2" t="s">
        <v>117</v>
      </c>
      <c r="G18" s="37">
        <f>E18*1.2</f>
      </c>
      <c r="H18" s="3"/>
      <c r="I18" s="3"/>
      <c r="J18" s="3"/>
      <c r="K18" s="3"/>
      <c r="L18" s="9"/>
      <c r="M18" s="9"/>
      <c r="N18" s="1"/>
      <c r="O18" s="1"/>
      <c r="P18" s="1"/>
      <c r="Q18" s="1"/>
    </row>
    <row x14ac:dyDescent="0.25" r="19" customHeight="1" ht="78">
      <c r="A19" s="3"/>
      <c r="B19" s="10" t="s">
        <v>127</v>
      </c>
      <c r="C19" s="36"/>
      <c r="D19" s="3" t="s">
        <v>128</v>
      </c>
      <c r="E19" s="37">
        <f>C19*2</f>
      </c>
      <c r="F19" s="2" t="s">
        <v>117</v>
      </c>
      <c r="G19" s="37">
        <f>E19*1.2</f>
      </c>
      <c r="H19" s="3"/>
      <c r="I19" s="3"/>
      <c r="J19" s="3"/>
      <c r="K19" s="3"/>
      <c r="L19" s="9"/>
      <c r="M19" s="9"/>
      <c r="N19" s="1"/>
      <c r="O19" s="1"/>
      <c r="P19" s="1"/>
      <c r="Q19" s="1"/>
    </row>
    <row x14ac:dyDescent="0.25" r="20" customHeight="1" ht="79.5">
      <c r="A20" s="3"/>
      <c r="B20" s="10" t="s">
        <v>129</v>
      </c>
      <c r="C20" s="36"/>
      <c r="D20" s="3" t="s">
        <v>111</v>
      </c>
      <c r="E20" s="37">
        <f>C20*7.5</f>
      </c>
      <c r="F20" s="2" t="s">
        <v>112</v>
      </c>
      <c r="G20" s="37">
        <f>E20*2</f>
      </c>
      <c r="H20" s="3"/>
      <c r="I20" s="3"/>
      <c r="J20" s="3"/>
      <c r="K20" s="3"/>
      <c r="L20" s="9"/>
      <c r="M20" s="9"/>
      <c r="N20" s="1"/>
      <c r="O20" s="1"/>
      <c r="P20" s="1"/>
      <c r="Q20" s="1"/>
    </row>
    <row x14ac:dyDescent="0.25" r="21" customHeight="1" ht="18.75">
      <c r="A21" s="3"/>
      <c r="B21" s="9"/>
      <c r="C21" s="3"/>
      <c r="D21" s="3"/>
      <c r="E21" s="9"/>
      <c r="F21" s="47" t="s">
        <v>130</v>
      </c>
      <c r="G21" s="14">
        <f>SUM(G18,G19,G20)</f>
      </c>
      <c r="H21" s="3"/>
      <c r="I21" s="1"/>
      <c r="J21" s="1"/>
      <c r="K21" s="1"/>
      <c r="L21" s="17"/>
      <c r="M21" s="17"/>
      <c r="N21" s="1"/>
      <c r="O21" s="1"/>
      <c r="P21" s="1"/>
      <c r="Q21" s="1"/>
    </row>
    <row x14ac:dyDescent="0.25" r="22" customHeight="1" ht="18.75">
      <c r="A22" s="48" t="s">
        <v>131</v>
      </c>
      <c r="B22" s="49">
        <f>G21+G15+E9+L6+M14</f>
      </c>
      <c r="C22" s="50" t="s">
        <v>132</v>
      </c>
      <c r="D22" s="1"/>
      <c r="E22" s="17"/>
      <c r="F22" s="1"/>
      <c r="G22" s="17"/>
      <c r="H22" s="1"/>
      <c r="I22" s="1"/>
      <c r="J22" s="1"/>
      <c r="K22" s="1"/>
      <c r="L22" s="17"/>
      <c r="M22" s="17"/>
      <c r="N22" s="1"/>
      <c r="O22" s="1"/>
      <c r="P22" s="1"/>
      <c r="Q22" s="1"/>
    </row>
    <row x14ac:dyDescent="0.25" r="23" customHeight="1" ht="18.75">
      <c r="A23" s="51" t="s">
        <v>133</v>
      </c>
      <c r="B23" s="52">
        <f>E9+L6</f>
      </c>
      <c r="C23" s="50" t="s">
        <v>132</v>
      </c>
      <c r="D23" s="1"/>
      <c r="E23" s="17"/>
      <c r="F23" s="1"/>
      <c r="G23" s="17"/>
      <c r="H23" s="1"/>
      <c r="I23" s="1"/>
      <c r="J23" s="1"/>
      <c r="K23" s="1"/>
      <c r="L23" s="17"/>
      <c r="M23" s="17"/>
      <c r="N23" s="1"/>
      <c r="O23" s="1"/>
      <c r="P23" s="1"/>
      <c r="Q23" s="1"/>
    </row>
    <row x14ac:dyDescent="0.25" r="24" customHeight="1" ht="18.75">
      <c r="A24" s="51" t="s">
        <v>134</v>
      </c>
      <c r="B24" s="52">
        <f>G15+M14</f>
      </c>
      <c r="C24" s="50" t="s">
        <v>132</v>
      </c>
      <c r="D24" s="1"/>
      <c r="E24" s="17"/>
      <c r="F24" s="1"/>
      <c r="G24" s="17"/>
      <c r="H24" s="1"/>
      <c r="I24" s="1"/>
      <c r="J24" s="1"/>
      <c r="K24" s="1"/>
      <c r="L24" s="17"/>
      <c r="M24" s="17"/>
      <c r="N24" s="1"/>
      <c r="O24" s="1"/>
      <c r="P24" s="1"/>
      <c r="Q24" s="53">
        <f>+B20:Q24B17:Q24L11C21:Q24B14:Q24L11C21:Q2A1:Q24</f>
      </c>
    </row>
    <row x14ac:dyDescent="0.25" r="25" customHeight="1" ht="18.75" customFormat="1" s="31">
      <c r="A25" s="34"/>
      <c r="B25" s="41"/>
      <c r="C25" s="50"/>
      <c r="D25" s="34"/>
      <c r="E25" s="41"/>
      <c r="F25" s="34"/>
      <c r="G25" s="41"/>
      <c r="H25" s="34"/>
      <c r="I25" s="34"/>
      <c r="J25" s="34"/>
      <c r="K25" s="34"/>
      <c r="L25" s="41"/>
      <c r="M25" s="41"/>
      <c r="N25" s="34"/>
      <c r="O25" s="34"/>
      <c r="P25" s="34"/>
      <c r="Q25" s="34"/>
    </row>
  </sheetData>
  <mergeCells count="1"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41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" width="21.862142857142857" customWidth="1" bestFit="1"/>
    <col min="2" max="2" style="4" width="19.005" customWidth="1" bestFit="1"/>
    <col min="3" max="3" style="30" width="22.576428571428572" customWidth="1" bestFit="1"/>
    <col min="4" max="4" style="4" width="17.433571428571426" customWidth="1" bestFit="1"/>
    <col min="5" max="5" style="30" width="14.862142857142858" customWidth="1" bestFit="1"/>
    <col min="6" max="6" style="4" width="20.290714285714284" customWidth="1" bestFit="1"/>
    <col min="7" max="7" style="30" width="12.290714285714287" customWidth="1" bestFit="1"/>
    <col min="8" max="8" style="4" width="38.71928571428572" customWidth="1" bestFit="1"/>
    <col min="9" max="9" style="4" width="13.576428571428572" customWidth="1" bestFit="1"/>
    <col min="10" max="10" style="4" width="13.576428571428572" customWidth="1" bestFit="1"/>
    <col min="11" max="11" style="4" width="13.576428571428572" customWidth="1" bestFit="1"/>
    <col min="12" max="12" style="4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4" width="13.576428571428572" customWidth="1" bestFit="1"/>
  </cols>
  <sheetData>
    <row x14ac:dyDescent="0.25" r="1" customHeight="1" ht="18.75">
      <c r="A1" s="5" t="s">
        <v>0</v>
      </c>
      <c r="B1" s="6"/>
      <c r="C1" s="7"/>
      <c r="D1" s="6"/>
      <c r="E1" s="7"/>
      <c r="F1" s="6"/>
      <c r="G1" s="7"/>
      <c r="H1" s="6"/>
      <c r="I1" s="3"/>
      <c r="J1" s="3"/>
      <c r="K1" s="3"/>
      <c r="L1" s="3"/>
      <c r="M1" s="3"/>
      <c r="N1" s="3"/>
      <c r="O1" s="3"/>
    </row>
    <row x14ac:dyDescent="0.25" r="2" customHeight="1" ht="18.75">
      <c r="A2" s="6"/>
      <c r="B2" s="6"/>
      <c r="C2" s="7"/>
      <c r="D2" s="6"/>
      <c r="E2" s="7"/>
      <c r="F2" s="6"/>
      <c r="G2" s="7"/>
      <c r="H2" s="6"/>
      <c r="I2" s="3"/>
      <c r="J2" s="3"/>
      <c r="K2" s="3"/>
      <c r="L2" s="3"/>
      <c r="M2" s="3"/>
      <c r="N2" s="3"/>
      <c r="O2" s="3"/>
    </row>
    <row x14ac:dyDescent="0.25" r="3" customHeight="1" ht="69.75">
      <c r="A3" s="1"/>
      <c r="B3" s="8" t="s">
        <v>1</v>
      </c>
      <c r="C3" s="9"/>
      <c r="D3" s="2" t="s">
        <v>2</v>
      </c>
      <c r="E3" s="10" t="s">
        <v>3</v>
      </c>
      <c r="F3" s="2" t="s">
        <v>4</v>
      </c>
      <c r="G3" s="10" t="s">
        <v>5</v>
      </c>
      <c r="H3" s="11" t="s">
        <v>6</v>
      </c>
      <c r="I3" s="3"/>
      <c r="J3" s="3"/>
      <c r="K3" s="3"/>
      <c r="L3" s="3"/>
      <c r="M3" s="3"/>
      <c r="N3" s="3"/>
      <c r="O3" s="3"/>
    </row>
    <row x14ac:dyDescent="0.25" r="4" customHeight="1" ht="37.5">
      <c r="A4" s="1"/>
      <c r="B4" s="3"/>
      <c r="C4" s="10" t="s">
        <v>7</v>
      </c>
      <c r="D4" s="2" t="s">
        <v>8</v>
      </c>
      <c r="E4" s="12" t="s">
        <v>9</v>
      </c>
      <c r="F4" s="2" t="s">
        <v>10</v>
      </c>
      <c r="G4" s="13">
        <f>E4*1/8</f>
      </c>
      <c r="H4" s="3"/>
      <c r="I4" s="3"/>
      <c r="J4" s="3"/>
      <c r="K4" s="3"/>
      <c r="L4" s="3"/>
      <c r="M4" s="3"/>
      <c r="N4" s="3"/>
      <c r="O4" s="3"/>
    </row>
    <row x14ac:dyDescent="0.25" r="5" customHeight="1" ht="85.5">
      <c r="A5" s="1"/>
      <c r="B5" s="3"/>
      <c r="C5" s="10" t="s">
        <v>11</v>
      </c>
      <c r="D5" s="2" t="s">
        <v>12</v>
      </c>
      <c r="E5" s="12" t="s">
        <v>9</v>
      </c>
      <c r="F5" s="3" t="s">
        <v>13</v>
      </c>
      <c r="G5" s="13">
        <f>E5*1</f>
      </c>
      <c r="H5" s="3"/>
      <c r="I5" s="3"/>
      <c r="J5" s="3"/>
      <c r="K5" s="3"/>
      <c r="L5" s="3"/>
      <c r="M5" s="3"/>
      <c r="N5" s="3"/>
      <c r="O5" s="3"/>
    </row>
    <row x14ac:dyDescent="0.25" r="6" customHeight="1" ht="150">
      <c r="A6" s="1"/>
      <c r="B6" s="3"/>
      <c r="C6" s="10" t="s">
        <v>14</v>
      </c>
      <c r="D6" s="2" t="s">
        <v>15</v>
      </c>
      <c r="E6" s="12" t="s">
        <v>9</v>
      </c>
      <c r="F6" s="2" t="s">
        <v>16</v>
      </c>
      <c r="G6" s="13">
        <f>E6*2.5</f>
      </c>
      <c r="H6" s="3"/>
      <c r="I6" s="3"/>
      <c r="J6" s="3"/>
      <c r="K6" s="3"/>
      <c r="L6" s="3"/>
      <c r="M6" s="3"/>
      <c r="N6" s="3"/>
      <c r="O6" s="3"/>
    </row>
    <row x14ac:dyDescent="0.25" r="7" customHeight="1" ht="69.75">
      <c r="A7" s="1"/>
      <c r="B7" s="3"/>
      <c r="C7" s="10" t="s">
        <v>17</v>
      </c>
      <c r="D7" s="2" t="s">
        <v>18</v>
      </c>
      <c r="E7" s="12" t="s">
        <v>9</v>
      </c>
      <c r="F7" s="3" t="s">
        <v>19</v>
      </c>
      <c r="G7" s="13">
        <f>E7*7</f>
      </c>
      <c r="H7" s="3"/>
      <c r="I7" s="3"/>
      <c r="J7" s="3"/>
      <c r="K7" s="3"/>
      <c r="L7" s="3"/>
      <c r="M7" s="3"/>
      <c r="N7" s="3"/>
      <c r="O7" s="3"/>
    </row>
    <row x14ac:dyDescent="0.25" r="8" customHeight="1" ht="37.5">
      <c r="A8" s="1"/>
      <c r="B8" s="3"/>
      <c r="C8" s="10" t="s">
        <v>20</v>
      </c>
      <c r="D8" s="2" t="s">
        <v>21</v>
      </c>
      <c r="E8" s="12" t="s">
        <v>9</v>
      </c>
      <c r="F8" s="3" t="s">
        <v>22</v>
      </c>
      <c r="G8" s="13">
        <f>E8*30</f>
      </c>
      <c r="H8" s="3"/>
      <c r="I8" s="3"/>
      <c r="J8" s="3"/>
      <c r="K8" s="3"/>
      <c r="L8" s="3"/>
      <c r="M8" s="3"/>
      <c r="N8" s="3"/>
      <c r="O8" s="3"/>
    </row>
    <row x14ac:dyDescent="0.25" r="9" customHeight="1" ht="69.75">
      <c r="A9" s="1"/>
      <c r="B9" s="3"/>
      <c r="C9" s="10" t="s">
        <v>23</v>
      </c>
      <c r="D9" s="2" t="s">
        <v>24</v>
      </c>
      <c r="E9" s="12" t="s">
        <v>9</v>
      </c>
      <c r="F9" s="3" t="s">
        <v>13</v>
      </c>
      <c r="G9" s="13">
        <f>E9*1</f>
      </c>
      <c r="H9" s="3"/>
      <c r="I9" s="3"/>
      <c r="J9" s="3"/>
      <c r="K9" s="3"/>
      <c r="L9" s="3"/>
      <c r="M9" s="3"/>
      <c r="N9" s="3"/>
      <c r="O9" s="3"/>
    </row>
    <row x14ac:dyDescent="0.25" r="10" customHeight="1" ht="69.75">
      <c r="A10" s="1"/>
      <c r="B10" s="3"/>
      <c r="C10" s="10" t="s">
        <v>25</v>
      </c>
      <c r="D10" s="2" t="s">
        <v>24</v>
      </c>
      <c r="E10" s="12" t="s">
        <v>9</v>
      </c>
      <c r="F10" s="3" t="s">
        <v>13</v>
      </c>
      <c r="G10" s="13">
        <f>E10*1</f>
      </c>
      <c r="H10" s="3"/>
      <c r="I10" s="3"/>
      <c r="J10" s="3"/>
      <c r="K10" s="3"/>
      <c r="L10" s="3"/>
      <c r="M10" s="3"/>
      <c r="N10" s="3"/>
      <c r="O10" s="3"/>
    </row>
    <row x14ac:dyDescent="0.25" r="11" customHeight="1" ht="54">
      <c r="A11" s="1"/>
      <c r="B11" s="3"/>
      <c r="C11" s="10" t="s">
        <v>26</v>
      </c>
      <c r="D11" s="2" t="s">
        <v>27</v>
      </c>
      <c r="E11" s="12" t="s">
        <v>9</v>
      </c>
      <c r="F11" s="3" t="s">
        <v>22</v>
      </c>
      <c r="G11" s="13">
        <f>E11*30</f>
      </c>
      <c r="H11" s="3"/>
      <c r="I11" s="3"/>
      <c r="J11" s="3"/>
      <c r="K11" s="3"/>
      <c r="L11" s="3"/>
      <c r="M11" s="3"/>
      <c r="N11" s="3"/>
      <c r="O11" s="3"/>
    </row>
    <row x14ac:dyDescent="0.25" r="12" customHeight="1" ht="85.5">
      <c r="A12" s="1"/>
      <c r="B12" s="3"/>
      <c r="C12" s="10" t="s">
        <v>28</v>
      </c>
      <c r="D12" s="2" t="s">
        <v>29</v>
      </c>
      <c r="E12" s="12" t="s">
        <v>30</v>
      </c>
      <c r="F12" s="3" t="s">
        <v>31</v>
      </c>
      <c r="G12" s="13">
        <f>E12*40</f>
      </c>
      <c r="H12" s="3"/>
      <c r="I12" s="3"/>
      <c r="J12" s="3"/>
      <c r="K12" s="3"/>
      <c r="L12" s="3"/>
      <c r="M12" s="3"/>
      <c r="N12" s="3"/>
      <c r="O12" s="3"/>
    </row>
    <row x14ac:dyDescent="0.25" r="13" customHeight="1" ht="54">
      <c r="A13" s="3"/>
      <c r="B13" s="3"/>
      <c r="C13" s="10" t="s">
        <v>32</v>
      </c>
      <c r="D13" s="2" t="s">
        <v>33</v>
      </c>
      <c r="E13" s="12" t="s">
        <v>9</v>
      </c>
      <c r="F13" s="2" t="s">
        <v>34</v>
      </c>
      <c r="G13" s="13">
        <f>E13*3</f>
      </c>
      <c r="H13" s="3"/>
      <c r="I13" s="3"/>
      <c r="J13" s="3"/>
      <c r="K13" s="3"/>
      <c r="L13" s="3"/>
      <c r="M13" s="3"/>
      <c r="N13" s="3"/>
      <c r="O13" s="3"/>
    </row>
    <row x14ac:dyDescent="0.25" r="14" customHeight="1" ht="54">
      <c r="A14" s="3"/>
      <c r="B14" s="3"/>
      <c r="C14" s="10" t="s">
        <v>35</v>
      </c>
      <c r="D14" s="2" t="s">
        <v>36</v>
      </c>
      <c r="E14" s="12"/>
      <c r="F14" s="2" t="s">
        <v>37</v>
      </c>
      <c r="G14" s="14">
        <f>E14</f>
      </c>
      <c r="H14" s="3"/>
      <c r="I14" s="3"/>
      <c r="J14" s="3"/>
      <c r="K14" s="3"/>
      <c r="L14" s="3"/>
      <c r="M14" s="3"/>
      <c r="N14" s="3"/>
      <c r="O14" s="3"/>
    </row>
    <row x14ac:dyDescent="0.25" r="15" customHeight="1" ht="54">
      <c r="A15" s="3"/>
      <c r="B15" s="1"/>
      <c r="C15" s="9"/>
      <c r="D15" s="3"/>
      <c r="E15" s="9"/>
      <c r="F15" s="15" t="s">
        <v>38</v>
      </c>
      <c r="G15" s="16">
        <f>SUM(G4,G5,G6,G7,G8,G9,G10,G11,G12,G13,G14)</f>
      </c>
      <c r="H15" s="3"/>
      <c r="I15" s="3"/>
      <c r="J15" s="3"/>
      <c r="K15" s="3"/>
      <c r="L15" s="3"/>
      <c r="M15" s="3"/>
      <c r="N15" s="3"/>
      <c r="O15" s="3"/>
    </row>
    <row x14ac:dyDescent="0.25" r="16" customHeight="1" ht="69.75">
      <c r="A16" s="3"/>
      <c r="B16" s="2" t="s">
        <v>39</v>
      </c>
      <c r="C16" s="17"/>
      <c r="D16" s="3"/>
      <c r="E16" s="10" t="s">
        <v>40</v>
      </c>
      <c r="F16" s="2" t="s">
        <v>4</v>
      </c>
      <c r="G16" s="10" t="s">
        <v>5</v>
      </c>
      <c r="H16" s="11" t="s">
        <v>6</v>
      </c>
      <c r="I16" s="3"/>
      <c r="J16" s="3"/>
      <c r="K16" s="3"/>
      <c r="L16" s="3"/>
      <c r="M16" s="3"/>
      <c r="N16" s="3"/>
      <c r="O16" s="3"/>
    </row>
    <row x14ac:dyDescent="0.25" r="17" customHeight="1" ht="69.75">
      <c r="A17" s="3"/>
      <c r="B17" s="3"/>
      <c r="C17" s="10" t="s">
        <v>41</v>
      </c>
      <c r="D17" s="2" t="s">
        <v>42</v>
      </c>
      <c r="E17" s="14">
        <f>('Food Eaten Part 1'!C12+'Food Eaten Part 1'!C13+'Food Eaten Part 1'!C14)</f>
      </c>
      <c r="F17" s="2" t="s">
        <v>43</v>
      </c>
      <c r="G17" s="14">
        <f>E17*2530</f>
      </c>
      <c r="H17" s="3"/>
      <c r="I17" s="3"/>
      <c r="J17" s="3"/>
      <c r="K17" s="3"/>
      <c r="L17" s="3"/>
      <c r="M17" s="3"/>
      <c r="N17" s="3"/>
      <c r="O17" s="3"/>
    </row>
    <row x14ac:dyDescent="0.25" r="18" customHeight="1" ht="69.75">
      <c r="A18" s="3"/>
      <c r="B18" s="3"/>
      <c r="C18" s="10" t="s">
        <v>44</v>
      </c>
      <c r="D18" s="2" t="s">
        <v>42</v>
      </c>
      <c r="E18" s="14">
        <f>('Food Eaten Part 1'!E4+'Food Eaten Part 1'!E5)</f>
      </c>
      <c r="F18" s="2" t="s">
        <v>45</v>
      </c>
      <c r="G18" s="14">
        <f>E18*505</f>
      </c>
      <c r="H18" s="3"/>
      <c r="I18" s="3"/>
      <c r="J18" s="3"/>
      <c r="K18" s="3"/>
      <c r="L18" s="3"/>
      <c r="M18" s="3"/>
      <c r="N18" s="3"/>
      <c r="O18" s="3"/>
    </row>
    <row x14ac:dyDescent="0.25" r="19" customHeight="1" ht="69.75">
      <c r="A19" s="3"/>
      <c r="B19" s="3"/>
      <c r="C19" s="10" t="s">
        <v>46</v>
      </c>
      <c r="D19" s="2" t="s">
        <v>42</v>
      </c>
      <c r="E19" s="14">
        <f>'Food Eaten Part 1'!E8</f>
      </c>
      <c r="F19" s="2" t="s">
        <v>47</v>
      </c>
      <c r="G19" s="14">
        <f>E19*25</f>
      </c>
      <c r="H19" s="3"/>
      <c r="I19" s="3"/>
      <c r="J19" s="3"/>
      <c r="K19" s="3"/>
      <c r="L19" s="3"/>
      <c r="M19" s="3"/>
      <c r="N19" s="3"/>
      <c r="O19" s="3"/>
    </row>
    <row x14ac:dyDescent="0.25" r="20" customHeight="1" ht="69.75">
      <c r="A20" s="3"/>
      <c r="B20" s="3"/>
      <c r="C20" s="10" t="s">
        <v>48</v>
      </c>
      <c r="D20" s="2" t="s">
        <v>49</v>
      </c>
      <c r="E20" s="14">
        <f>'Food Eaten Part 1'!M12+'Food Eaten Part 1'!M13</f>
      </c>
      <c r="F20" s="2" t="s">
        <v>50</v>
      </c>
      <c r="G20" s="14">
        <f>E20*900</f>
      </c>
      <c r="H20" s="3"/>
      <c r="I20" s="3"/>
      <c r="J20" s="3"/>
      <c r="K20" s="3"/>
      <c r="L20" s="3"/>
      <c r="M20" s="3"/>
      <c r="N20" s="3"/>
      <c r="O20" s="3"/>
    </row>
    <row x14ac:dyDescent="0.25" r="21" customHeight="1" ht="69.75">
      <c r="A21" s="3"/>
      <c r="B21" s="3"/>
      <c r="C21" s="10" t="s">
        <v>51</v>
      </c>
      <c r="D21" s="2" t="s">
        <v>52</v>
      </c>
      <c r="E21" s="14">
        <f>'Food Eaten Part 1'!E3</f>
      </c>
      <c r="F21" s="2" t="s">
        <v>53</v>
      </c>
      <c r="G21" s="14">
        <f>E21*150</f>
      </c>
      <c r="H21" s="3"/>
      <c r="I21" s="3"/>
      <c r="J21" s="3"/>
      <c r="K21" s="3"/>
      <c r="L21" s="3"/>
      <c r="M21" s="3"/>
      <c r="N21" s="3"/>
      <c r="O21" s="3"/>
    </row>
    <row x14ac:dyDescent="0.25" r="22" customHeight="1" ht="54">
      <c r="A22" s="3"/>
      <c r="B22" s="3"/>
      <c r="C22" s="10" t="s">
        <v>54</v>
      </c>
      <c r="D22" s="2" t="s">
        <v>55</v>
      </c>
      <c r="E22" s="14">
        <f>'Food Eaten Part 1'!L3</f>
      </c>
      <c r="F22" s="2" t="s">
        <v>56</v>
      </c>
      <c r="G22" s="14">
        <f>E22*125</f>
      </c>
      <c r="H22" s="3"/>
      <c r="I22" s="3"/>
      <c r="J22" s="3"/>
      <c r="K22" s="3"/>
      <c r="L22" s="3"/>
      <c r="M22" s="3"/>
      <c r="N22" s="3"/>
      <c r="O22" s="3"/>
    </row>
    <row x14ac:dyDescent="0.25" r="23" customHeight="1" ht="54">
      <c r="A23" s="3"/>
      <c r="B23" s="3"/>
      <c r="C23" s="10" t="s">
        <v>57</v>
      </c>
      <c r="D23" s="2" t="s">
        <v>58</v>
      </c>
      <c r="E23" s="14">
        <f>'Food Eaten Part 1'!L4+'Food Eaten Part 1'!L5</f>
      </c>
      <c r="F23" s="2" t="s">
        <v>59</v>
      </c>
      <c r="G23" s="14">
        <f>E23*40</f>
      </c>
      <c r="H23" s="3"/>
      <c r="I23" s="3"/>
      <c r="J23" s="3"/>
      <c r="K23" s="3"/>
      <c r="L23" s="3"/>
      <c r="M23" s="3"/>
      <c r="N23" s="3"/>
      <c r="O23" s="3"/>
    </row>
    <row x14ac:dyDescent="0.25" r="24" customHeight="1" ht="18.75">
      <c r="A24" s="3"/>
      <c r="B24" s="3"/>
      <c r="C24" s="10" t="s">
        <v>60</v>
      </c>
      <c r="D24" s="2" t="s">
        <v>42</v>
      </c>
      <c r="E24" s="14">
        <f>'Food Eaten Part 1'!E6+'Food Eaten Part 1'!E7</f>
      </c>
      <c r="F24" s="2" t="s">
        <v>56</v>
      </c>
      <c r="G24" s="14">
        <f>E24*125</f>
      </c>
      <c r="H24" s="3"/>
      <c r="I24" s="3"/>
      <c r="J24" s="3"/>
      <c r="K24" s="3"/>
      <c r="L24" s="3"/>
      <c r="M24" s="3"/>
      <c r="N24" s="3"/>
      <c r="O24" s="3"/>
    </row>
    <row x14ac:dyDescent="0.25" r="25" customHeight="1" ht="18.75">
      <c r="A25" s="3"/>
      <c r="B25" s="3"/>
      <c r="C25" s="18" t="s">
        <v>61</v>
      </c>
      <c r="D25" s="19" t="s">
        <v>62</v>
      </c>
      <c r="E25" s="20"/>
      <c r="F25" s="19" t="s">
        <v>63</v>
      </c>
      <c r="G25" s="21">
        <f>E25*260</f>
      </c>
      <c r="H25" s="22" t="s">
        <v>64</v>
      </c>
      <c r="I25" s="3"/>
      <c r="J25" s="3"/>
      <c r="K25" s="3"/>
      <c r="L25" s="3"/>
      <c r="M25" s="3"/>
      <c r="N25" s="3"/>
      <c r="O25" s="3"/>
    </row>
    <row x14ac:dyDescent="0.25" r="26" customHeight="1" ht="18.75">
      <c r="A26" s="3"/>
      <c r="B26" s="1"/>
      <c r="C26" s="17"/>
      <c r="D26" s="3"/>
      <c r="E26" s="9"/>
      <c r="F26" s="23" t="s">
        <v>65</v>
      </c>
      <c r="G26" s="24">
        <f>SUM(G17,G18,G19,G20,G21,G22,G23,G24,G25)</f>
      </c>
      <c r="H26" s="3"/>
      <c r="I26" s="3"/>
      <c r="J26" s="3"/>
      <c r="K26" s="3"/>
      <c r="L26" s="3"/>
      <c r="M26" s="3"/>
      <c r="N26" s="3"/>
      <c r="O26" s="3"/>
    </row>
    <row x14ac:dyDescent="0.25" r="27" customHeight="1" ht="18.75">
      <c r="A27" s="3"/>
      <c r="B27" s="2" t="s">
        <v>66</v>
      </c>
      <c r="C27" s="9"/>
      <c r="D27" s="2" t="s">
        <v>67</v>
      </c>
      <c r="E27" s="9"/>
      <c r="F27" s="3"/>
      <c r="G27" s="9"/>
      <c r="H27" s="3"/>
      <c r="I27" s="3"/>
      <c r="J27" s="3"/>
      <c r="K27" s="3"/>
      <c r="L27" s="3"/>
      <c r="M27" s="3"/>
      <c r="N27" s="3"/>
      <c r="O27" s="3"/>
    </row>
    <row x14ac:dyDescent="0.25" r="28" customHeight="1" ht="18.75">
      <c r="A28" s="3"/>
      <c r="B28" s="3"/>
      <c r="C28" s="10" t="s">
        <v>68</v>
      </c>
      <c r="D28" s="2" t="s">
        <v>69</v>
      </c>
      <c r="E28" s="9"/>
      <c r="F28" s="3"/>
      <c r="G28" s="9"/>
      <c r="H28" s="3"/>
      <c r="I28" s="3"/>
      <c r="J28" s="3"/>
      <c r="K28" s="3"/>
      <c r="L28" s="3"/>
      <c r="M28" s="3"/>
      <c r="N28" s="3"/>
      <c r="O28" s="3"/>
    </row>
    <row x14ac:dyDescent="0.25" r="29" customHeight="1" ht="18.75">
      <c r="A29" s="3"/>
      <c r="B29" s="3"/>
      <c r="C29" s="10" t="s">
        <v>70</v>
      </c>
      <c r="D29" s="2" t="s">
        <v>71</v>
      </c>
      <c r="E29" s="9"/>
      <c r="F29" s="3"/>
      <c r="G29" s="9"/>
      <c r="H29" s="3"/>
      <c r="I29" s="3"/>
      <c r="J29" s="3"/>
      <c r="K29" s="3"/>
      <c r="L29" s="3"/>
      <c r="M29" s="3"/>
      <c r="N29" s="3"/>
      <c r="O29" s="3"/>
    </row>
    <row x14ac:dyDescent="0.25" r="30" customHeight="1" ht="18.75">
      <c r="A30" s="3"/>
      <c r="B30" s="3"/>
      <c r="C30" s="10" t="s">
        <v>72</v>
      </c>
      <c r="D30" s="2" t="s">
        <v>73</v>
      </c>
      <c r="E30" s="9"/>
      <c r="F30" s="3"/>
      <c r="G30" s="9"/>
      <c r="H30" s="3"/>
      <c r="I30" s="3"/>
      <c r="J30" s="3"/>
      <c r="K30" s="3"/>
      <c r="L30" s="3"/>
      <c r="M30" s="3"/>
      <c r="N30" s="3"/>
      <c r="O30" s="3"/>
    </row>
    <row x14ac:dyDescent="0.25" r="31" customHeight="1" ht="18.75">
      <c r="A31" s="2"/>
      <c r="B31" s="1"/>
      <c r="C31" s="17"/>
      <c r="D31" s="25" t="s">
        <v>74</v>
      </c>
      <c r="E31" s="26" t="s">
        <v>75</v>
      </c>
      <c r="F31" s="3"/>
      <c r="G31" s="9"/>
      <c r="H31" s="3"/>
      <c r="I31" s="3"/>
      <c r="J31" s="3"/>
      <c r="K31" s="3"/>
      <c r="L31" s="3"/>
      <c r="M31" s="3"/>
      <c r="N31" s="3"/>
      <c r="O31" s="3"/>
    </row>
    <row x14ac:dyDescent="0.25" r="32" customHeight="1" ht="18.75">
      <c r="A32" s="2" t="s">
        <v>76</v>
      </c>
      <c r="B32" s="1"/>
      <c r="C32" s="17"/>
      <c r="D32" s="3"/>
      <c r="E32" s="9"/>
      <c r="F32" s="3"/>
      <c r="G32" s="9"/>
      <c r="H32" s="3"/>
      <c r="I32" s="3"/>
      <c r="J32" s="3"/>
      <c r="K32" s="3"/>
      <c r="L32" s="3"/>
      <c r="M32" s="3"/>
      <c r="N32" s="3"/>
      <c r="O32" s="3"/>
    </row>
    <row x14ac:dyDescent="0.25" r="33" customHeight="1" ht="18.75">
      <c r="A33" s="3"/>
      <c r="B33" s="3"/>
      <c r="C33" s="10" t="s">
        <v>77</v>
      </c>
      <c r="D33" s="3"/>
      <c r="E33" s="9"/>
      <c r="F33" s="3"/>
      <c r="G33" s="9"/>
      <c r="H33" s="3"/>
      <c r="I33" s="3"/>
      <c r="J33" s="3"/>
      <c r="K33" s="3"/>
      <c r="L33" s="3"/>
      <c r="M33" s="3"/>
      <c r="N33" s="3"/>
      <c r="O33" s="3"/>
    </row>
    <row x14ac:dyDescent="0.25" r="34" customHeight="1" ht="18.75">
      <c r="A34" s="3"/>
      <c r="B34" s="27" t="s">
        <v>38</v>
      </c>
      <c r="C34" s="13">
        <f>G15</f>
      </c>
      <c r="D34" s="3"/>
      <c r="E34" s="9"/>
      <c r="F34" s="3"/>
      <c r="G34" s="9"/>
      <c r="H34" s="3"/>
      <c r="I34" s="3"/>
      <c r="J34" s="3"/>
      <c r="K34" s="3"/>
      <c r="L34" s="3"/>
      <c r="M34" s="3"/>
      <c r="N34" s="3"/>
      <c r="O34" s="3"/>
    </row>
    <row x14ac:dyDescent="0.25" r="35" customHeight="1" ht="18.75">
      <c r="A35" s="3"/>
      <c r="B35" s="27" t="s">
        <v>65</v>
      </c>
      <c r="C35" s="14">
        <f>G26</f>
      </c>
      <c r="D35" s="3"/>
      <c r="E35" s="9"/>
      <c r="F35" s="3"/>
      <c r="G35" s="9"/>
      <c r="H35" s="3"/>
      <c r="I35" s="3"/>
      <c r="J35" s="3"/>
      <c r="K35" s="3"/>
      <c r="L35" s="3"/>
      <c r="M35" s="3"/>
      <c r="N35" s="3"/>
      <c r="O35" s="3"/>
    </row>
    <row x14ac:dyDescent="0.25" r="36" customHeight="1" ht="18.75">
      <c r="A36" s="3"/>
      <c r="B36" s="27" t="s">
        <v>78</v>
      </c>
      <c r="C36" s="14">
        <v>907</v>
      </c>
      <c r="D36" s="3"/>
      <c r="E36" s="9"/>
      <c r="F36" s="3"/>
      <c r="G36" s="9"/>
      <c r="H36" s="3"/>
      <c r="I36" s="3"/>
      <c r="J36" s="3"/>
      <c r="K36" s="3"/>
      <c r="L36" s="3"/>
      <c r="M36" s="3"/>
      <c r="N36" s="3"/>
      <c r="O36" s="3"/>
    </row>
    <row x14ac:dyDescent="0.25" r="37" customHeight="1" ht="18.75">
      <c r="A37" s="3"/>
      <c r="B37" s="28" t="s">
        <v>79</v>
      </c>
      <c r="C37" s="29">
        <f>SUM(C34,C35,C36)</f>
      </c>
      <c r="D37" s="3"/>
      <c r="E37" s="9"/>
      <c r="F37" s="3"/>
      <c r="G37" s="9"/>
      <c r="H37" s="3"/>
      <c r="I37" s="3"/>
      <c r="J37" s="3"/>
      <c r="K37" s="3"/>
      <c r="L37" s="3"/>
      <c r="M37" s="3"/>
      <c r="N37" s="3"/>
      <c r="O37" s="3"/>
    </row>
    <row x14ac:dyDescent="0.25" r="38" customHeight="1" ht="18.75">
      <c r="A38" s="3"/>
      <c r="B38" s="3"/>
      <c r="C38" s="9"/>
      <c r="D38" s="3"/>
      <c r="E38" s="9"/>
      <c r="F38" s="3"/>
      <c r="G38" s="9"/>
      <c r="H38" s="3"/>
      <c r="I38" s="3"/>
      <c r="J38" s="3"/>
      <c r="K38" s="3"/>
      <c r="L38" s="3"/>
      <c r="M38" s="3"/>
      <c r="N38" s="3"/>
      <c r="O38" s="3"/>
    </row>
    <row x14ac:dyDescent="0.25" r="39" customHeight="1" ht="18.75">
      <c r="A39" s="3"/>
      <c r="B39" s="3"/>
      <c r="C39" s="9"/>
      <c r="D39" s="3"/>
      <c r="E39" s="9"/>
      <c r="F39" s="3"/>
      <c r="G39" s="9"/>
      <c r="H39" s="3"/>
      <c r="I39" s="3"/>
      <c r="J39" s="3"/>
      <c r="K39" s="3"/>
      <c r="L39" s="3"/>
      <c r="M39" s="3"/>
      <c r="N39" s="3"/>
      <c r="O39" s="3"/>
    </row>
    <row x14ac:dyDescent="0.25" r="40" customHeight="1" ht="18.75">
      <c r="A40" s="3"/>
      <c r="B40" s="3"/>
      <c r="C40" s="9"/>
      <c r="D40" s="3"/>
      <c r="E40" s="9"/>
      <c r="F40" s="3"/>
      <c r="G40" s="9"/>
      <c r="H40" s="3"/>
      <c r="I40" s="3"/>
      <c r="J40" s="3"/>
      <c r="K40" s="3"/>
      <c r="L40" s="3"/>
      <c r="M40" s="3"/>
      <c r="N40" s="3"/>
      <c r="O40" s="3"/>
    </row>
    <row x14ac:dyDescent="0.25" r="41" customHeight="1" ht="18.75">
      <c r="A41" s="3"/>
      <c r="B41" s="3"/>
      <c r="C41" s="9"/>
      <c r="D41" s="3"/>
      <c r="E41" s="9"/>
      <c r="F41" s="3"/>
      <c r="G41" s="9"/>
      <c r="H41" s="3"/>
      <c r="I41" s="3"/>
      <c r="J41" s="3"/>
      <c r="K41" s="3"/>
      <c r="L41" s="3"/>
      <c r="M41" s="3"/>
      <c r="N41" s="3"/>
      <c r="O41" s="3"/>
    </row>
  </sheetData>
  <mergeCells count="1">
    <mergeCell ref="A1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7"/>
  <sheetViews>
    <sheetView workbookViewId="0"/>
  </sheetViews>
  <sheetFormatPr defaultRowHeight="15" x14ac:dyDescent="0.25"/>
  <cols>
    <col min="1" max="1" style="4" width="16.576428571428572" customWidth="1" bestFit="1"/>
    <col min="2" max="2" style="4" width="11.862142857142858" customWidth="1" bestFit="1"/>
    <col min="3" max="3" style="4" width="16.433571428571426" customWidth="1" bestFit="1"/>
    <col min="4" max="4" style="4" width="15.290714285714287" customWidth="1" bestFit="1"/>
    <col min="5" max="5" style="4" width="13.576428571428572" customWidth="1" bestFit="1"/>
    <col min="6" max="6" style="4" width="14.862142857142858" customWidth="1" bestFit="1"/>
    <col min="7" max="7" style="4" width="13.005" customWidth="1" bestFit="1"/>
    <col min="8" max="8" style="4" width="13.862142857142858" customWidth="1" bestFit="1"/>
    <col min="9" max="9" style="4" width="13.576428571428572" customWidth="1" bestFit="1"/>
    <col min="10" max="10" style="4" width="15.862142857142858" customWidth="1" bestFit="1"/>
    <col min="11" max="11" style="4" width="13.43357142857143" customWidth="1" bestFit="1"/>
    <col min="12" max="12" style="4" width="13.290714285714287" customWidth="1" bestFit="1"/>
    <col min="13" max="13" style="4" width="13.576428571428572" customWidth="1" bestFit="1"/>
    <col min="14" max="14" style="4" width="13.576428571428572" customWidth="1" bestFit="1"/>
    <col min="15" max="15" style="4" width="13.576428571428572" customWidth="1" bestFit="1"/>
  </cols>
  <sheetData>
    <row x14ac:dyDescent="0.25" r="1" customHeight="1" ht="18.7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x14ac:dyDescent="0.25" r="2" customHeight="1" ht="18.75">
      <c r="A2" s="2"/>
      <c r="B2" s="1"/>
      <c r="C2" s="2"/>
      <c r="D2" s="2"/>
      <c r="E2" s="1"/>
      <c r="F2" s="2"/>
      <c r="G2" s="2"/>
      <c r="H2" s="1"/>
      <c r="I2" s="2"/>
      <c r="J2" s="1"/>
      <c r="K2" s="2"/>
      <c r="L2" s="2"/>
      <c r="M2" s="2"/>
      <c r="N2" s="3"/>
      <c r="O2" s="3"/>
    </row>
    <row x14ac:dyDescent="0.25" r="3" customHeight="1" ht="18.75">
      <c r="A3" s="1"/>
      <c r="B3" s="2"/>
      <c r="C3" s="3"/>
      <c r="D3" s="3"/>
      <c r="E3" s="3"/>
      <c r="F3" s="2"/>
      <c r="G3" s="3"/>
      <c r="H3" s="3"/>
      <c r="I3" s="3"/>
      <c r="J3" s="2"/>
      <c r="K3" s="3"/>
      <c r="L3" s="3"/>
      <c r="M3" s="3"/>
      <c r="N3" s="3"/>
      <c r="O3" s="3"/>
    </row>
    <row x14ac:dyDescent="0.25" r="4" customHeight="1" ht="18.75">
      <c r="A4" s="1"/>
      <c r="B4" s="2"/>
      <c r="C4" s="3"/>
      <c r="D4" s="3"/>
      <c r="E4" s="3"/>
      <c r="F4" s="2"/>
      <c r="G4" s="3"/>
      <c r="H4" s="3"/>
      <c r="I4" s="3"/>
      <c r="J4" s="3"/>
      <c r="K4" s="3"/>
      <c r="L4" s="3"/>
      <c r="M4" s="3"/>
      <c r="N4" s="3"/>
      <c r="O4" s="3"/>
    </row>
    <row x14ac:dyDescent="0.25" r="5" customHeight="1" ht="18.75">
      <c r="A5" s="1"/>
      <c r="B5" s="2"/>
      <c r="C5" s="3"/>
      <c r="D5" s="3"/>
      <c r="E5" s="3"/>
      <c r="F5" s="2"/>
      <c r="G5" s="3"/>
      <c r="H5" s="3"/>
      <c r="I5" s="3"/>
      <c r="J5" s="3"/>
      <c r="K5" s="3"/>
      <c r="L5" s="2"/>
      <c r="M5" s="3"/>
      <c r="N5" s="3"/>
      <c r="O5" s="3"/>
    </row>
    <row x14ac:dyDescent="0.25" r="6" customHeight="1" ht="18.75">
      <c r="A6" s="1"/>
      <c r="B6" s="1"/>
      <c r="C6" s="3"/>
      <c r="D6" s="3"/>
      <c r="E6" s="3"/>
      <c r="F6" s="2"/>
      <c r="G6" s="3"/>
      <c r="H6" s="3"/>
      <c r="I6" s="3"/>
      <c r="J6" s="3"/>
      <c r="K6" s="3"/>
      <c r="L6" s="3"/>
      <c r="M6" s="3"/>
      <c r="N6" s="3"/>
      <c r="O6" s="3"/>
    </row>
    <row x14ac:dyDescent="0.25" r="7" customHeight="1" ht="18.75">
      <c r="A7" s="1"/>
      <c r="B7" s="1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x14ac:dyDescent="0.25" r="8" customHeight="1" ht="18.75">
      <c r="A8" s="2"/>
      <c r="B8" s="3"/>
      <c r="C8" s="2"/>
      <c r="D8" s="2"/>
      <c r="E8" s="1"/>
      <c r="F8" s="2"/>
      <c r="G8" s="2"/>
      <c r="H8" s="3"/>
      <c r="I8" s="3"/>
      <c r="J8" s="3"/>
      <c r="K8" s="3"/>
      <c r="L8" s="3"/>
      <c r="M8" s="3"/>
      <c r="N8" s="3"/>
      <c r="O8" s="3"/>
    </row>
    <row x14ac:dyDescent="0.25" r="9" customHeight="1" ht="18.75">
      <c r="A9" s="3"/>
      <c r="B9" s="2"/>
      <c r="C9" s="3"/>
      <c r="D9" s="3"/>
      <c r="E9" s="3"/>
      <c r="F9" s="2"/>
      <c r="G9" s="3"/>
      <c r="H9" s="3"/>
      <c r="I9" s="3"/>
      <c r="J9" s="3"/>
      <c r="K9" s="3"/>
      <c r="L9" s="3"/>
      <c r="M9" s="3"/>
      <c r="N9" s="3"/>
      <c r="O9" s="3"/>
    </row>
    <row x14ac:dyDescent="0.25" r="10" customHeight="1" ht="18.75">
      <c r="A10" s="3"/>
      <c r="B10" s="2"/>
      <c r="C10" s="3"/>
      <c r="D10" s="3"/>
      <c r="E10" s="3"/>
      <c r="F10" s="2"/>
      <c r="G10" s="3"/>
      <c r="H10" s="3"/>
      <c r="I10" s="3"/>
      <c r="J10" s="3"/>
      <c r="K10" s="3"/>
      <c r="L10" s="3"/>
      <c r="M10" s="3"/>
      <c r="N10" s="3"/>
      <c r="O10" s="3"/>
    </row>
    <row x14ac:dyDescent="0.25" r="11" customHeight="1" ht="18.75">
      <c r="A11" s="3"/>
      <c r="B11" s="2"/>
      <c r="C11" s="3"/>
      <c r="D11" s="3"/>
      <c r="E11" s="3"/>
      <c r="F11" s="2"/>
      <c r="G11" s="3"/>
      <c r="H11" s="3"/>
      <c r="I11" s="3"/>
      <c r="J11" s="3"/>
      <c r="K11" s="3"/>
      <c r="L11" s="3"/>
      <c r="M11" s="3"/>
      <c r="N11" s="3"/>
      <c r="O11" s="3"/>
    </row>
    <row x14ac:dyDescent="0.25" r="12" customHeight="1" ht="18.75">
      <c r="A12" s="3"/>
      <c r="B12" s="3"/>
      <c r="C12" s="3"/>
      <c r="D12" s="3"/>
      <c r="E12" s="3"/>
      <c r="F12" s="2"/>
      <c r="G12" s="3"/>
      <c r="H12" s="3"/>
      <c r="I12" s="1"/>
      <c r="J12" s="1"/>
      <c r="K12" s="1"/>
      <c r="L12" s="1"/>
      <c r="M12" s="1"/>
      <c r="N12" s="1"/>
      <c r="O12" s="1"/>
    </row>
    <row x14ac:dyDescent="0.25" r="13" customHeight="1" ht="18.75">
      <c r="A13" s="3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</row>
    <row x14ac:dyDescent="0.25" r="14" customHeight="1" ht="18.75">
      <c r="A14" s="3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</row>
    <row x14ac:dyDescent="0.25" r="15" customHeight="1" ht="18.75">
      <c r="A15" s="3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</row>
    <row x14ac:dyDescent="0.25" r="16" customHeight="1" ht="18.75">
      <c r="A16" s="3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</row>
    <row x14ac:dyDescent="0.25" r="17" customHeight="1" ht="18.75">
      <c r="A17" s="3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Food Eaten Part 1</vt:lpstr>
      <vt:lpstr>Total Water Uses</vt:lpstr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2026-04-11T02:55:39.185Z</dcterms:created>
  <dcterms:modified xsi:type="dcterms:W3CDTF">2026-04-11T02:55:39.185Z</dcterms:modified>
</cp:coreProperties>
</file>